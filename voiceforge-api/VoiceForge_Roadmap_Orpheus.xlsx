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oadmap" sheetId="1" state="visible" r:id="rId1"/>
    <sheet name="Dashboard" sheetId="2" state="visible" r:id="rId2"/>
    <sheet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 hrs&quot;"/>
    <numFmt numFmtId="165" formatCode="0.0&quot; h&quot;"/>
    <numFmt numFmtId="166" formatCode="\₹#,##0"/>
    <numFmt numFmtId="167" formatCode="0.0"/>
  </numFmts>
  <fonts count="58">
    <font>
      <name val="Calibri"/>
      <color theme="1"/>
      <sz val="11"/>
      <scheme val="minor"/>
    </font>
    <font>
      <name val="Arial"/>
      <b val="1"/>
      <color rgb="FFFFFFFF"/>
      <sz val="16"/>
    </font>
    <font/>
    <font>
      <name val="Arial"/>
      <color rgb="FF6B6A64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Calibri"/>
      <color theme="1"/>
      <sz val="11"/>
    </font>
    <font>
      <name val="Arial"/>
      <color rgb="FF1A1A18"/>
      <sz val="9"/>
    </font>
    <font>
      <name val="Arial"/>
      <color rgb="FF6B6A64"/>
      <sz val="8"/>
    </font>
    <font>
      <name val="Arial"/>
      <color rgb="FF0C447C"/>
      <sz val="9"/>
    </font>
    <font>
      <name val="Arial"/>
      <color rgb="FF444441"/>
      <sz val="8"/>
    </font>
    <font>
      <name val="Arial"/>
      <color rgb="FF085041"/>
      <sz val="9"/>
    </font>
    <font>
      <name val="Arial"/>
      <b val="1"/>
      <color rgb="FF1D9E75"/>
      <sz val="11"/>
    </font>
    <font>
      <name val="Calibri"/>
      <color theme="1"/>
      <scheme val="minor"/>
    </font>
    <font>
      <name val="Arial"/>
      <b val="1"/>
      <color rgb="FFFFFFFF"/>
      <sz val="18"/>
    </font>
    <font>
      <name val="Arial"/>
      <color rgb="FF3C3489"/>
      <sz val="8"/>
    </font>
    <font>
      <name val="Arial"/>
      <color rgb="FF085041"/>
      <sz val="8"/>
    </font>
    <font>
      <name val="Arial"/>
      <color rgb="FF633806"/>
      <sz val="8"/>
    </font>
    <font>
      <name val="Arial"/>
      <b val="1"/>
      <color rgb="FF3C3489"/>
      <sz val="18"/>
    </font>
    <font>
      <name val="Arial"/>
      <b val="1"/>
      <color rgb="FF085041"/>
      <sz val="18"/>
    </font>
    <font>
      <name val="Arial"/>
      <b val="1"/>
      <color rgb="FF633806"/>
      <sz val="18"/>
    </font>
    <font>
      <name val="Arial"/>
      <color rgb="FF3C3489"/>
      <sz val="7"/>
    </font>
    <font>
      <name val="Arial"/>
      <color rgb="FF085041"/>
      <sz val="7"/>
    </font>
    <font>
      <name val="Arial"/>
      <color rgb="FF633806"/>
      <sz val="7"/>
    </font>
    <font>
      <name val="Arial"/>
      <color rgb="FF0C447C"/>
      <sz val="8"/>
    </font>
    <font>
      <name val="Arial"/>
      <color rgb="FF4A1B0C"/>
      <sz val="8"/>
    </font>
    <font>
      <name val="Arial"/>
      <color rgb="FF27500A"/>
      <sz val="8"/>
    </font>
    <font>
      <name val="Arial"/>
      <b val="1"/>
      <color rgb="FF0C447C"/>
      <sz val="18"/>
    </font>
    <font>
      <name val="Arial"/>
      <b val="1"/>
      <color rgb="FF4A1B0C"/>
      <sz val="18"/>
    </font>
    <font>
      <name val="Arial"/>
      <b val="1"/>
      <color rgb="FF27500A"/>
      <sz val="18"/>
    </font>
    <font>
      <name val="Arial"/>
      <color rgb="FF0C447C"/>
      <sz val="7"/>
    </font>
    <font>
      <name val="Arial"/>
      <color rgb="FF4A1B0C"/>
      <sz val="7"/>
    </font>
    <font>
      <name val="Arial"/>
      <color rgb="FF27500A"/>
      <sz val="7"/>
    </font>
    <font>
      <name val="Arial"/>
      <b val="1"/>
      <color rgb="FFFFFFFF"/>
      <sz val="11"/>
    </font>
    <font>
      <name val="Arial"/>
      <b val="1"/>
      <color rgb="FFFFFFFF"/>
      <sz val="8"/>
    </font>
    <font>
      <name val="Arial"/>
      <b val="1"/>
      <color rgb="FF3C3489"/>
      <sz val="8"/>
    </font>
    <font>
      <name val="Arial"/>
      <b val="1"/>
      <color rgb="FF3C3489"/>
      <sz val="9"/>
    </font>
    <font>
      <name val="Arial"/>
      <b val="1"/>
      <color rgb="FF633806"/>
      <sz val="8"/>
    </font>
    <font>
      <name val="Arial"/>
      <b val="1"/>
      <color rgb="FF633806"/>
      <sz val="9"/>
    </font>
    <font>
      <name val="Arial"/>
      <b val="1"/>
      <color rgb="FF085041"/>
      <sz val="8"/>
    </font>
    <font>
      <name val="Arial"/>
      <b val="1"/>
      <color rgb="FF085041"/>
      <sz val="9"/>
    </font>
    <font>
      <name val="Arial"/>
      <b val="1"/>
      <color rgb="FF0C447C"/>
      <sz val="8"/>
    </font>
    <font>
      <name val="Arial"/>
      <b val="1"/>
      <color rgb="FF0C447C"/>
      <sz val="9"/>
    </font>
    <font>
      <name val="Arial"/>
      <b val="1"/>
      <color rgb="FF4A1B0C"/>
      <sz val="8"/>
    </font>
    <font>
      <name val="Arial"/>
      <b val="1"/>
      <color rgb="FF4A1B0C"/>
      <sz val="9"/>
    </font>
    <font>
      <name val="Arial"/>
      <b val="1"/>
      <color rgb="FF27500A"/>
      <sz val="8"/>
    </font>
    <font>
      <name val="Arial"/>
      <b val="1"/>
      <color rgb="FF27500A"/>
      <sz val="9"/>
    </font>
    <font>
      <name val="Arial"/>
      <b val="1"/>
      <color rgb="FFE1F5EE"/>
      <sz val="9"/>
    </font>
    <font>
      <name val="Arial"/>
      <b val="1"/>
      <color rgb="FFE6F1FB"/>
      <sz val="9"/>
    </font>
    <font>
      <name val="Arial"/>
      <color rgb="FFFFFFFF"/>
      <sz val="7"/>
    </font>
    <font>
      <name val="Arial"/>
      <color rgb="FF1A1A18"/>
      <sz val="8"/>
    </font>
    <font>
      <name val="Arial"/>
      <color rgb="FF6B6A64"/>
      <sz val="7"/>
    </font>
    <font>
      <name val="Arial"/>
      <b val="1"/>
      <color rgb="FFFFFFFF"/>
      <sz val="15"/>
    </font>
    <font>
      <name val="Arial"/>
      <color rgb="FF3C3489"/>
      <sz val="9"/>
    </font>
    <font>
      <name val="Arial"/>
      <color rgb="FF633806"/>
      <sz val="9"/>
    </font>
    <font>
      <name val="Arial"/>
      <color rgb="FF4A1B0C"/>
      <sz val="9"/>
    </font>
    <font>
      <name val="Arial"/>
      <color rgb="FF27500A"/>
      <sz val="9"/>
    </font>
    <font>
      <name val="Arial"/>
      <b val="1"/>
      <color rgb="FFE1F5EE"/>
      <sz val="10"/>
    </font>
  </fonts>
  <fills count="19">
    <fill>
      <patternFill/>
    </fill>
    <fill>
      <patternFill patternType="lightGray"/>
    </fill>
    <fill>
      <patternFill patternType="solid">
        <fgColor rgb="FF1A1A18"/>
        <bgColor rgb="FF1A1A18"/>
      </patternFill>
    </fill>
    <fill>
      <patternFill patternType="solid">
        <fgColor rgb="FFF1EFE8"/>
        <bgColor rgb="FFF1EFE8"/>
      </patternFill>
    </fill>
    <fill>
      <patternFill patternType="solid">
        <fgColor rgb="FF7F77DD"/>
        <bgColor rgb="FF7F77DD"/>
      </patternFill>
    </fill>
    <fill>
      <patternFill patternType="solid">
        <fgColor rgb="FFFFFFFF"/>
        <bgColor rgb="FFFFFFFF"/>
      </patternFill>
    </fill>
    <fill>
      <patternFill patternType="solid">
        <fgColor rgb="FFF7F6F2"/>
        <bgColor rgb="FFF7F6F2"/>
      </patternFill>
    </fill>
    <fill>
      <patternFill patternType="solid">
        <fgColor rgb="FFEF9F27"/>
        <bgColor rgb="FFEF9F27"/>
      </patternFill>
    </fill>
    <fill>
      <patternFill patternType="solid">
        <fgColor rgb="FF1D9E75"/>
        <bgColor rgb="FF1D9E75"/>
      </patternFill>
    </fill>
    <fill>
      <patternFill patternType="solid">
        <fgColor rgb="FF378ADD"/>
        <bgColor rgb="FF378ADD"/>
      </patternFill>
    </fill>
    <fill>
      <patternFill patternType="solid">
        <fgColor rgb="FFD85A30"/>
        <bgColor rgb="FFD85A30"/>
      </patternFill>
    </fill>
    <fill>
      <patternFill patternType="solid">
        <fgColor rgb="FF639922"/>
        <bgColor rgb="FF639922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  <fill>
      <patternFill patternType="solid">
        <fgColor rgb="FFFAEEDA"/>
        <bgColor rgb="FFFAEEDA"/>
      </patternFill>
    </fill>
    <fill>
      <patternFill patternType="solid">
        <fgColor rgb="FFE6F1FB"/>
        <bgColor rgb="FFE6F1FB"/>
      </patternFill>
    </fill>
    <fill>
      <patternFill patternType="solid">
        <fgColor rgb="FFFAECE7"/>
        <bgColor rgb="FFFAECE7"/>
      </patternFill>
    </fill>
    <fill>
      <patternFill patternType="solid">
        <fgColor rgb="FFEAF3DE"/>
        <bgColor rgb="FFEAF3DE"/>
      </patternFill>
    </fill>
    <fill>
      <patternFill patternType="solid">
        <fgColor rgb="FF444441"/>
        <bgColor rgb="FF444441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7F77DD"/>
      </bottom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</border>
    <border>
      <left/>
      <right/>
      <top/>
      <bottom/>
    </border>
  </borders>
  <cellStyleXfs count="1">
    <xf numFmtId="0" fontId="0" fillId="0" borderId="0"/>
  </cellStyleXfs>
  <cellXfs count="1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2" borderId="4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5" applyAlignment="1" pivotButton="0" quotePrefix="0" xfId="0">
      <alignment vertical="bottom"/>
    </xf>
    <xf numFmtId="0" fontId="7" fillId="5" borderId="5" applyAlignment="1" pivotButton="0" quotePrefix="0" xfId="0">
      <alignment horizontal="left" vertical="center" wrapText="1"/>
    </xf>
    <xf numFmtId="0" fontId="8" fillId="5" borderId="5" applyAlignment="1" pivotButton="0" quotePrefix="0" xfId="0">
      <alignment horizontal="left" vertical="center" wrapText="1"/>
    </xf>
    <xf numFmtId="164" fontId="9" fillId="5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164" fontId="11" fillId="5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left" vertical="center" wrapText="1"/>
    </xf>
    <xf numFmtId="164" fontId="9" fillId="6" borderId="5" applyAlignment="1" pivotButton="0" quotePrefix="0" xfId="0">
      <alignment horizontal="center" vertical="center"/>
    </xf>
    <xf numFmtId="0" fontId="10" fillId="6" borderId="5" applyAlignment="1" pivotButton="0" quotePrefix="0" xfId="0">
      <alignment horizontal="center" vertical="center"/>
    </xf>
    <xf numFmtId="164" fontId="11" fillId="6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0" fontId="13" fillId="0" borderId="0" pivotButton="0" quotePrefix="0" xfId="0"/>
    <xf numFmtId="0" fontId="5" fillId="7" borderId="1" applyAlignment="1" pivotButton="0" quotePrefix="0" xfId="0">
      <alignment horizontal="left" vertical="center"/>
    </xf>
    <xf numFmtId="0" fontId="6" fillId="7" borderId="5" applyAlignment="1" pivotButton="0" quotePrefix="0" xfId="0">
      <alignment vertical="bottom"/>
    </xf>
    <xf numFmtId="0" fontId="10" fillId="6" borderId="5" applyAlignment="1" pivotButton="0" quotePrefix="0" xfId="0">
      <alignment horizontal="center" vertical="center"/>
    </xf>
    <xf numFmtId="0" fontId="10" fillId="5" borderId="5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5" applyAlignment="1" pivotButton="0" quotePrefix="0" xfId="0">
      <alignment vertical="bottom"/>
    </xf>
    <xf numFmtId="0" fontId="5" fillId="9" borderId="1" applyAlignment="1" pivotButton="0" quotePrefix="0" xfId="0">
      <alignment horizontal="left" vertical="center"/>
    </xf>
    <xf numFmtId="0" fontId="6" fillId="9" borderId="5" applyAlignment="1" pivotButton="0" quotePrefix="0" xfId="0">
      <alignment vertical="bottom"/>
    </xf>
    <xf numFmtId="0" fontId="5" fillId="10" borderId="1" applyAlignment="1" pivotButton="0" quotePrefix="0" xfId="0">
      <alignment horizontal="left" vertical="center"/>
    </xf>
    <xf numFmtId="0" fontId="6" fillId="10" borderId="5" applyAlignment="1" pivotButton="0" quotePrefix="0" xfId="0">
      <alignment vertical="bottom"/>
    </xf>
    <xf numFmtId="0" fontId="5" fillId="11" borderId="1" applyAlignment="1" pivotButton="0" quotePrefix="0" xfId="0">
      <alignment horizontal="left" vertical="center"/>
    </xf>
    <xf numFmtId="0" fontId="6" fillId="11" borderId="5" applyAlignment="1" pivotButton="0" quotePrefix="0" xfId="0">
      <alignment vertical="bottom"/>
    </xf>
    <xf numFmtId="0" fontId="14" fillId="2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6" fillId="13" borderId="1" applyAlignment="1" pivotButton="0" quotePrefix="0" xfId="0">
      <alignment horizontal="left" vertical="center"/>
    </xf>
    <xf numFmtId="0" fontId="17" fillId="14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left" vertical="center"/>
    </xf>
    <xf numFmtId="0" fontId="19" fillId="13" borderId="1" applyAlignment="1" pivotButton="0" quotePrefix="0" xfId="0">
      <alignment horizontal="left" vertical="center"/>
    </xf>
    <xf numFmtId="0" fontId="20" fillId="14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/>
    </xf>
    <xf numFmtId="0" fontId="23" fillId="14" borderId="1" applyAlignment="1" pivotButton="0" quotePrefix="0" xfId="0">
      <alignment horizontal="left" vertical="center"/>
    </xf>
    <xf numFmtId="0" fontId="24" fillId="15" borderId="1" applyAlignment="1" pivotButton="0" quotePrefix="0" xfId="0">
      <alignment horizontal="left" vertical="center"/>
    </xf>
    <xf numFmtId="0" fontId="25" fillId="16" borderId="1" applyAlignment="1" pivotButton="0" quotePrefix="0" xfId="0">
      <alignment horizontal="left" vertical="center"/>
    </xf>
    <xf numFmtId="0" fontId="26" fillId="17" borderId="1" applyAlignment="1" pivotButton="0" quotePrefix="0" xfId="0">
      <alignment horizontal="left" vertical="center"/>
    </xf>
    <xf numFmtId="0" fontId="27" fillId="15" borderId="1" applyAlignment="1" pivotButton="0" quotePrefix="0" xfId="0">
      <alignment horizontal="left" vertical="center"/>
    </xf>
    <xf numFmtId="0" fontId="28" fillId="16" borderId="1" applyAlignment="1" pivotButton="0" quotePrefix="0" xfId="0">
      <alignment horizontal="left" vertical="center"/>
    </xf>
    <xf numFmtId="9" fontId="29" fillId="17" borderId="1" applyAlignment="1" pivotButton="0" quotePrefix="0" xfId="0">
      <alignment horizontal="left" vertical="center"/>
    </xf>
    <xf numFmtId="0" fontId="30" fillId="15" borderId="1" applyAlignment="1" pivotButton="0" quotePrefix="0" xfId="0">
      <alignment horizontal="left" vertical="center"/>
    </xf>
    <xf numFmtId="0" fontId="31" fillId="16" borderId="1" applyAlignment="1" pivotButton="0" quotePrefix="0" xfId="0">
      <alignment horizontal="left" vertical="center"/>
    </xf>
    <xf numFmtId="0" fontId="32" fillId="17" borderId="1" applyAlignment="1" pivotButton="0" quotePrefix="0" xfId="0">
      <alignment horizontal="left" vertical="center"/>
    </xf>
    <xf numFmtId="0" fontId="33" fillId="2" borderId="1" applyAlignment="1" pivotButton="0" quotePrefix="0" xfId="0">
      <alignment horizontal="left" vertical="center"/>
    </xf>
    <xf numFmtId="0" fontId="34" fillId="18" borderId="1" applyAlignment="1" pivotButton="0" quotePrefix="0" xfId="0">
      <alignment horizontal="center" vertical="center"/>
    </xf>
    <xf numFmtId="0" fontId="34" fillId="18" borderId="6" applyAlignment="1" pivotButton="0" quotePrefix="0" xfId="0">
      <alignment horizontal="center" vertical="center"/>
    </xf>
    <xf numFmtId="0" fontId="35" fillId="12" borderId="1" applyAlignment="1" pivotButton="0" quotePrefix="0" xfId="0">
      <alignment horizontal="left" vertical="center"/>
    </xf>
    <xf numFmtId="0" fontId="7" fillId="5" borderId="5" applyAlignment="1" pivotButton="0" quotePrefix="0" xfId="0">
      <alignment horizontal="center" vertical="center"/>
    </xf>
    <xf numFmtId="0" fontId="11" fillId="5" borderId="5" applyAlignment="1" pivotButton="0" quotePrefix="0" xfId="0">
      <alignment horizontal="center" vertical="center"/>
    </xf>
    <xf numFmtId="165" fontId="9" fillId="5" borderId="5" applyAlignment="1" pivotButton="0" quotePrefix="0" xfId="0">
      <alignment horizontal="center" vertical="center"/>
    </xf>
    <xf numFmtId="9" fontId="36" fillId="12" borderId="5" applyAlignment="1" pivotButton="0" quotePrefix="0" xfId="0">
      <alignment horizontal="center" vertical="center"/>
    </xf>
    <xf numFmtId="0" fontId="37" fillId="14" borderId="1" applyAlignment="1" pivotButton="0" quotePrefix="0" xfId="0">
      <alignment horizontal="left" vertical="center"/>
    </xf>
    <xf numFmtId="9" fontId="38" fillId="14" borderId="5" applyAlignment="1" pivotButton="0" quotePrefix="0" xfId="0">
      <alignment horizontal="center" vertical="center"/>
    </xf>
    <xf numFmtId="0" fontId="39" fillId="13" borderId="1" applyAlignment="1" pivotButton="0" quotePrefix="0" xfId="0">
      <alignment horizontal="left" vertical="center"/>
    </xf>
    <xf numFmtId="9" fontId="40" fillId="13" borderId="5" applyAlignment="1" pivotButton="0" quotePrefix="0" xfId="0">
      <alignment horizontal="center" vertical="center"/>
    </xf>
    <xf numFmtId="0" fontId="41" fillId="15" borderId="1" applyAlignment="1" pivotButton="0" quotePrefix="0" xfId="0">
      <alignment horizontal="left" vertical="center"/>
    </xf>
    <xf numFmtId="9" fontId="42" fillId="15" borderId="5" applyAlignment="1" pivotButton="0" quotePrefix="0" xfId="0">
      <alignment horizontal="center" vertical="center"/>
    </xf>
    <xf numFmtId="0" fontId="43" fillId="16" borderId="1" applyAlignment="1" pivotButton="0" quotePrefix="0" xfId="0">
      <alignment horizontal="left" vertical="center"/>
    </xf>
    <xf numFmtId="9" fontId="44" fillId="16" borderId="5" applyAlignment="1" pivotButton="0" quotePrefix="0" xfId="0">
      <alignment horizontal="center" vertical="center"/>
    </xf>
    <xf numFmtId="0" fontId="45" fillId="17" borderId="1" applyAlignment="1" pivotButton="0" quotePrefix="0" xfId="0">
      <alignment horizontal="left" vertical="center"/>
    </xf>
    <xf numFmtId="9" fontId="46" fillId="17" borderId="5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6" applyAlignment="1" pivotButton="0" quotePrefix="0" xfId="0">
      <alignment horizontal="center" vertical="center"/>
    </xf>
    <xf numFmtId="0" fontId="47" fillId="2" borderId="6" applyAlignment="1" pivotButton="0" quotePrefix="0" xfId="0">
      <alignment horizontal="center" vertical="center"/>
    </xf>
    <xf numFmtId="165" fontId="48" fillId="2" borderId="6" applyAlignment="1" pivotButton="0" quotePrefix="0" xfId="0">
      <alignment horizontal="center" vertical="center"/>
    </xf>
    <xf numFmtId="9" fontId="47" fillId="2" borderId="6" applyAlignment="1" pivotButton="0" quotePrefix="0" xfId="0">
      <alignment horizontal="center" vertical="center"/>
    </xf>
    <xf numFmtId="0" fontId="34" fillId="18" borderId="5" applyAlignment="1" pivotButton="0" quotePrefix="0" xfId="0">
      <alignment horizontal="left" vertical="center"/>
    </xf>
    <xf numFmtId="0" fontId="34" fillId="18" borderId="5" applyAlignment="1" pivotButton="0" quotePrefix="0" xfId="0">
      <alignment horizontal="center" vertical="center"/>
    </xf>
    <xf numFmtId="0" fontId="49" fillId="18" borderId="5" applyAlignment="1" pivotButton="0" quotePrefix="0" xfId="0">
      <alignment horizontal="left" vertical="center"/>
    </xf>
    <xf numFmtId="0" fontId="50" fillId="5" borderId="5" applyAlignment="1" pivotButton="0" quotePrefix="0" xfId="0">
      <alignment horizontal="left" vertical="center"/>
    </xf>
    <xf numFmtId="0" fontId="50" fillId="5" borderId="5" applyAlignment="1" pivotButton="0" quotePrefix="0" xfId="0">
      <alignment horizontal="center" vertical="center"/>
    </xf>
    <xf numFmtId="0" fontId="51" fillId="5" borderId="5" applyAlignment="1" pivotButton="0" quotePrefix="0" xfId="0">
      <alignment horizontal="left" vertical="center"/>
    </xf>
    <xf numFmtId="0" fontId="50" fillId="6" borderId="5" applyAlignment="1" pivotButton="0" quotePrefix="0" xfId="0">
      <alignment horizontal="left" vertical="center"/>
    </xf>
    <xf numFmtId="0" fontId="50" fillId="6" borderId="5" applyAlignment="1" pivotButton="0" quotePrefix="0" xfId="0">
      <alignment horizontal="center" vertical="center"/>
    </xf>
    <xf numFmtId="166" fontId="50" fillId="6" borderId="5" applyAlignment="1" pivotButton="0" quotePrefix="0" xfId="0">
      <alignment horizontal="center" vertical="center"/>
    </xf>
    <xf numFmtId="0" fontId="51" fillId="6" borderId="5" applyAlignment="1" pivotButton="0" quotePrefix="0" xfId="0">
      <alignment horizontal="left" vertical="center"/>
    </xf>
    <xf numFmtId="166" fontId="50" fillId="5" borderId="5" applyAlignment="1" pivotButton="0" quotePrefix="0" xfId="0">
      <alignment horizontal="center" vertical="center"/>
    </xf>
    <xf numFmtId="0" fontId="34" fillId="2" borderId="5" applyAlignment="1" pivotButton="0" quotePrefix="0" xfId="0">
      <alignment horizontal="left" vertical="center"/>
    </xf>
    <xf numFmtId="0" fontId="34" fillId="2" borderId="5" applyAlignment="1" pivotButton="0" quotePrefix="0" xfId="0">
      <alignment horizontal="center" vertical="center"/>
    </xf>
    <xf numFmtId="166" fontId="34" fillId="2" borderId="5" applyAlignment="1" pivotButton="0" quotePrefix="0" xfId="0">
      <alignment horizontal="center" vertical="center"/>
    </xf>
    <xf numFmtId="0" fontId="49" fillId="2" borderId="5" applyAlignment="1" pivotButton="0" quotePrefix="0" xfId="0">
      <alignment horizontal="left" vertical="center"/>
    </xf>
    <xf numFmtId="0" fontId="52" fillId="2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4" fillId="4" borderId="5" applyAlignment="1" pivotButton="0" quotePrefix="0" xfId="0">
      <alignment horizontal="left" vertical="center"/>
    </xf>
    <xf numFmtId="167" fontId="53" fillId="12" borderId="5" applyAlignment="1" pivotButton="0" quotePrefix="0" xfId="0">
      <alignment horizontal="center" vertical="center"/>
    </xf>
    <xf numFmtId="165" fontId="36" fillId="12" borderId="5" applyAlignment="1" pivotButton="0" quotePrefix="0" xfId="0">
      <alignment horizontal="center" vertical="center"/>
    </xf>
    <xf numFmtId="0" fontId="4" fillId="7" borderId="5" applyAlignment="1" pivotButton="0" quotePrefix="0" xfId="0">
      <alignment horizontal="left" vertical="center"/>
    </xf>
    <xf numFmtId="167" fontId="54" fillId="14" borderId="5" applyAlignment="1" pivotButton="0" quotePrefix="0" xfId="0">
      <alignment horizontal="center" vertical="center"/>
    </xf>
    <xf numFmtId="165" fontId="38" fillId="14" borderId="5" applyAlignment="1" pivotButton="0" quotePrefix="0" xfId="0">
      <alignment horizontal="center" vertical="center"/>
    </xf>
    <xf numFmtId="0" fontId="4" fillId="8" borderId="5" applyAlignment="1" pivotButton="0" quotePrefix="0" xfId="0">
      <alignment horizontal="left" vertical="center"/>
    </xf>
    <xf numFmtId="167" fontId="11" fillId="13" borderId="5" applyAlignment="1" pivotButton="0" quotePrefix="0" xfId="0">
      <alignment horizontal="center" vertical="center"/>
    </xf>
    <xf numFmtId="165" fontId="40" fillId="13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left" vertical="center"/>
    </xf>
    <xf numFmtId="167" fontId="9" fillId="15" borderId="5" applyAlignment="1" pivotButton="0" quotePrefix="0" xfId="0">
      <alignment horizontal="center" vertical="center"/>
    </xf>
    <xf numFmtId="165" fontId="42" fillId="15" borderId="5" applyAlignment="1" pivotButton="0" quotePrefix="0" xfId="0">
      <alignment horizontal="center" vertical="center"/>
    </xf>
    <xf numFmtId="0" fontId="4" fillId="10" borderId="5" applyAlignment="1" pivotButton="0" quotePrefix="0" xfId="0">
      <alignment horizontal="left" vertical="center"/>
    </xf>
    <xf numFmtId="167" fontId="55" fillId="16" borderId="5" applyAlignment="1" pivotButton="0" quotePrefix="0" xfId="0">
      <alignment horizontal="center" vertical="center"/>
    </xf>
    <xf numFmtId="165" fontId="44" fillId="16" borderId="5" applyAlignment="1" pivotButton="0" quotePrefix="0" xfId="0">
      <alignment horizontal="center" vertical="center"/>
    </xf>
    <xf numFmtId="0" fontId="4" fillId="11" borderId="5" applyAlignment="1" pivotButton="0" quotePrefix="0" xfId="0">
      <alignment horizontal="left" vertical="center"/>
    </xf>
    <xf numFmtId="167" fontId="56" fillId="17" borderId="5" applyAlignment="1" pivotButton="0" quotePrefix="0" xfId="0">
      <alignment horizontal="center" vertical="center"/>
    </xf>
    <xf numFmtId="165" fontId="46" fillId="17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left" vertical="center"/>
    </xf>
    <xf numFmtId="167" fontId="4" fillId="2" borderId="5" applyAlignment="1" pivotButton="0" quotePrefix="0" xfId="0">
      <alignment horizontal="center" vertical="center"/>
    </xf>
    <xf numFmtId="165" fontId="57" fillId="2" borderId="5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6" applyAlignment="1" pivotButton="0" quotePrefix="0" xfId="0">
      <alignment horizontal="left" vertical="center"/>
    </xf>
    <xf numFmtId="0" fontId="3" fillId="3" borderId="6" applyAlignment="1" pivotButton="0" quotePrefix="0" xfId="0">
      <alignment horizontal="left" vertical="center"/>
    </xf>
    <xf numFmtId="0" fontId="5" fillId="4" borderId="6" applyAlignment="1" pivotButton="0" quotePrefix="0" xfId="0">
      <alignment horizontal="left" vertical="center"/>
    </xf>
    <xf numFmtId="0" fontId="5" fillId="7" borderId="6" applyAlignment="1" pivotButton="0" quotePrefix="0" xfId="0">
      <alignment horizontal="left" vertical="center"/>
    </xf>
    <xf numFmtId="0" fontId="5" fillId="8" borderId="6" applyAlignment="1" pivotButton="0" quotePrefix="0" xfId="0">
      <alignment horizontal="left" vertical="center"/>
    </xf>
    <xf numFmtId="0" fontId="5" fillId="9" borderId="6" applyAlignment="1" pivotButton="0" quotePrefix="0" xfId="0">
      <alignment horizontal="left" vertical="center"/>
    </xf>
    <xf numFmtId="0" fontId="5" fillId="10" borderId="6" applyAlignment="1" pivotButton="0" quotePrefix="0" xfId="0">
      <alignment horizontal="left" vertical="center"/>
    </xf>
    <xf numFmtId="0" fontId="5" fillId="11" borderId="6" applyAlignment="1" pivotButton="0" quotePrefix="0" xfId="0">
      <alignment horizontal="left" vertical="center"/>
    </xf>
    <xf numFmtId="0" fontId="14" fillId="2" borderId="6" applyAlignment="1" pivotButton="0" quotePrefix="0" xfId="0">
      <alignment horizontal="left" vertical="center"/>
    </xf>
    <xf numFmtId="0" fontId="15" fillId="12" borderId="6" applyAlignment="1" pivotButton="0" quotePrefix="0" xfId="0">
      <alignment horizontal="left" vertical="center"/>
    </xf>
    <xf numFmtId="0" fontId="16" fillId="13" borderId="6" applyAlignment="1" pivotButton="0" quotePrefix="0" xfId="0">
      <alignment horizontal="left" vertical="center"/>
    </xf>
    <xf numFmtId="0" fontId="17" fillId="14" borderId="6" applyAlignment="1" pivotButton="0" quotePrefix="0" xfId="0">
      <alignment horizontal="left" vertical="center"/>
    </xf>
    <xf numFmtId="0" fontId="18" fillId="12" borderId="6" applyAlignment="1" pivotButton="0" quotePrefix="0" xfId="0">
      <alignment horizontal="left" vertical="center"/>
    </xf>
    <xf numFmtId="0" fontId="19" fillId="13" borderId="6" applyAlignment="1" pivotButton="0" quotePrefix="0" xfId="0">
      <alignment horizontal="left" vertical="center"/>
    </xf>
    <xf numFmtId="0" fontId="20" fillId="14" borderId="6" applyAlignment="1" pivotButton="0" quotePrefix="0" xfId="0">
      <alignment horizontal="left" vertical="center"/>
    </xf>
    <xf numFmtId="0" fontId="21" fillId="12" borderId="6" applyAlignment="1" pivotButton="0" quotePrefix="0" xfId="0">
      <alignment horizontal="left" vertical="center"/>
    </xf>
    <xf numFmtId="0" fontId="22" fillId="13" borderId="6" applyAlignment="1" pivotButton="0" quotePrefix="0" xfId="0">
      <alignment horizontal="left" vertical="center"/>
    </xf>
    <xf numFmtId="0" fontId="23" fillId="14" borderId="6" applyAlignment="1" pivotButton="0" quotePrefix="0" xfId="0">
      <alignment horizontal="left" vertical="center"/>
    </xf>
    <xf numFmtId="0" fontId="24" fillId="15" borderId="6" applyAlignment="1" pivotButton="0" quotePrefix="0" xfId="0">
      <alignment horizontal="left" vertical="center"/>
    </xf>
    <xf numFmtId="0" fontId="25" fillId="16" borderId="6" applyAlignment="1" pivotButton="0" quotePrefix="0" xfId="0">
      <alignment horizontal="left" vertical="center"/>
    </xf>
    <xf numFmtId="0" fontId="26" fillId="17" borderId="6" applyAlignment="1" pivotButton="0" quotePrefix="0" xfId="0">
      <alignment horizontal="left" vertical="center"/>
    </xf>
    <xf numFmtId="0" fontId="27" fillId="15" borderId="6" applyAlignment="1" pivotButton="0" quotePrefix="0" xfId="0">
      <alignment horizontal="left" vertical="center"/>
    </xf>
    <xf numFmtId="0" fontId="28" fillId="16" borderId="6" applyAlignment="1" pivotButton="0" quotePrefix="0" xfId="0">
      <alignment horizontal="left" vertical="center"/>
    </xf>
    <xf numFmtId="9" fontId="29" fillId="17" borderId="6" applyAlignment="1" pivotButton="0" quotePrefix="0" xfId="0">
      <alignment horizontal="left" vertical="center"/>
    </xf>
    <xf numFmtId="0" fontId="30" fillId="15" borderId="6" applyAlignment="1" pivotButton="0" quotePrefix="0" xfId="0">
      <alignment horizontal="left" vertical="center"/>
    </xf>
    <xf numFmtId="0" fontId="31" fillId="16" borderId="6" applyAlignment="1" pivotButton="0" quotePrefix="0" xfId="0">
      <alignment horizontal="left" vertical="center"/>
    </xf>
    <xf numFmtId="0" fontId="32" fillId="17" borderId="6" applyAlignment="1" pivotButton="0" quotePrefix="0" xfId="0">
      <alignment horizontal="left" vertical="center"/>
    </xf>
    <xf numFmtId="0" fontId="33" fillId="2" borderId="6" applyAlignment="1" pivotButton="0" quotePrefix="0" xfId="0">
      <alignment horizontal="left" vertical="center"/>
    </xf>
    <xf numFmtId="0" fontId="35" fillId="12" borderId="6" applyAlignment="1" pivotButton="0" quotePrefix="0" xfId="0">
      <alignment horizontal="left" vertical="center"/>
    </xf>
    <xf numFmtId="0" fontId="37" fillId="14" borderId="6" applyAlignment="1" pivotButton="0" quotePrefix="0" xfId="0">
      <alignment horizontal="left" vertical="center"/>
    </xf>
    <xf numFmtId="0" fontId="39" fillId="13" borderId="6" applyAlignment="1" pivotButton="0" quotePrefix="0" xfId="0">
      <alignment horizontal="left" vertical="center"/>
    </xf>
    <xf numFmtId="0" fontId="41" fillId="15" borderId="6" applyAlignment="1" pivotButton="0" quotePrefix="0" xfId="0">
      <alignment horizontal="left" vertical="center"/>
    </xf>
    <xf numFmtId="0" fontId="43" fillId="16" borderId="6" applyAlignment="1" pivotButton="0" quotePrefix="0" xfId="0">
      <alignment horizontal="left" vertical="center"/>
    </xf>
    <xf numFmtId="0" fontId="45" fillId="17" borderId="6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52" fillId="2" borderId="6" applyAlignment="1" pivotButton="0" quotePrefix="0" xfId="0">
      <alignment horizontal="left" vertical="center"/>
    </xf>
    <xf numFmtId="0" fontId="8" fillId="3" borderId="6" applyAlignment="1" pivotButton="0" quotePrefix="0" xfId="0">
      <alignment horizontal="left" vertical="center"/>
    </xf>
    <xf numFmtId="0" fontId="8" fillId="3" borderId="6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name val="Arial"/>
        <color rgb="FF27500A"/>
        <sz val="9"/>
      </font>
      <fill>
        <patternFill patternType="solid">
          <fgColor rgb="FFEAF3DE"/>
          <bgColor rgb="FFEAF3DE"/>
        </patternFill>
      </fill>
      <border/>
    </dxf>
    <dxf>
      <font>
        <name val="Arial"/>
        <color rgb="FF633806"/>
        <sz val="9"/>
      </font>
      <fill>
        <patternFill patternType="solid">
          <fgColor rgb="FFFAEEDA"/>
          <bgColor rgb="FFFAEEDA"/>
        </patternFill>
      </fill>
      <border/>
    </dxf>
    <dxf>
      <font>
        <name val="Arial"/>
        <color rgb="FF4A1B0C"/>
        <sz val="9"/>
      </font>
      <fill>
        <patternFill patternType="solid">
          <fgColor rgb="FFFAECE7"/>
          <bgColor rgb="FFFAECE7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4" customWidth="1" style="114" min="1" max="1"/>
    <col width="32" customWidth="1" style="114" min="2" max="2"/>
    <col width="38" customWidth="1" style="114" min="3" max="3"/>
    <col width="12" customWidth="1" style="114" min="4" max="4"/>
    <col width="14" customWidth="1" style="114" min="5" max="5"/>
    <col width="12" customWidth="1" style="114" min="6" max="6"/>
    <col width="8" customWidth="1" style="114" min="7" max="7"/>
    <col width="22" customWidth="1" style="114" min="8" max="8"/>
    <col width="8.710000000000001" customWidth="1" style="114" min="9" max="26"/>
  </cols>
  <sheetData>
    <row r="1" ht="39.75" customHeight="1" s="114">
      <c r="A1" s="115" t="inlineStr">
        <is>
          <t>VoiceForge — Build Roadmap &amp; Task Tracker</t>
        </is>
      </c>
    </row>
    <row r="2" ht="21.75" customHeight="1" s="114">
      <c r="A2" s="116" t="inlineStr">
        <is>
          <t>Mark status per task · Enter actual hours · Dashboard auto-updates</t>
        </is>
      </c>
    </row>
    <row r="3" ht="27.75" customHeight="1" s="114">
      <c r="A3" s="5" t="n"/>
      <c r="B3" s="5" t="inlineStr">
        <is>
          <t>Task</t>
        </is>
      </c>
      <c r="C3" s="5" t="inlineStr">
        <is>
          <t>Description</t>
        </is>
      </c>
      <c r="D3" s="5" t="inlineStr">
        <is>
          <t>Est. Hours</t>
        </is>
      </c>
      <c r="E3" s="5" t="inlineStr">
        <is>
          <t>Status</t>
        </is>
      </c>
      <c r="F3" s="5" t="inlineStr">
        <is>
          <t>Actual Hrs</t>
        </is>
      </c>
      <c r="G3" s="5" t="inlineStr">
        <is>
          <t>✓</t>
        </is>
      </c>
      <c r="H3" s="5" t="inlineStr">
        <is>
          <t>Notes</t>
        </is>
      </c>
    </row>
    <row r="4" ht="25.5" customHeight="1" s="114">
      <c r="A4" s="117" t="inlineStr">
        <is>
          <t xml:space="preserve">  Phase 1 — Local GPU Setup (Orpheus TTS)</t>
        </is>
      </c>
    </row>
    <row r="5" ht="21.75" customHeight="1" s="114">
      <c r="A5" s="7" t="n"/>
      <c r="B5" s="8" t="inlineStr">
        <is>
          <t>Verify CUDA + drivers</t>
        </is>
      </c>
      <c r="C5" s="9" t="inlineStr">
        <is>
          <t>nvidia-smi → RTX 5070 Ti + CUDA 13.1 confirmed ✓</t>
        </is>
      </c>
      <c r="D5" s="10" t="n">
        <v>0.5</v>
      </c>
      <c r="E5" s="24" t="inlineStr">
        <is>
          <t>Done</t>
        </is>
      </c>
      <c r="F5" s="12" t="n"/>
      <c r="G5" s="13">
        <f>IF(E5="Done","✓","")</f>
        <v/>
      </c>
      <c r="H5" s="9" t="n"/>
    </row>
    <row r="6" ht="21.75" customHeight="1" s="114">
      <c r="A6" s="7" t="n"/>
      <c r="B6" s="14" t="inlineStr">
        <is>
          <t>Install PyTorch cu128</t>
        </is>
      </c>
      <c r="C6" s="15" t="inlineStr">
        <is>
          <t>pip install torch==2.8.0+cu128 torchaudio torchvision --index-url cu128 ✓</t>
        </is>
      </c>
      <c r="D6" s="16" t="n">
        <v>0.5</v>
      </c>
      <c r="E6" s="23" t="inlineStr">
        <is>
          <t>Done</t>
        </is>
      </c>
      <c r="F6" s="18" t="n"/>
      <c r="G6" s="19">
        <f>IF(E6="Done","✓","")</f>
        <v/>
      </c>
      <c r="H6" s="15" t="n"/>
    </row>
    <row r="7" ht="21.75" customHeight="1" s="114">
      <c r="A7" s="7" t="n"/>
      <c r="B7" s="8" t="inlineStr">
        <is>
          <t>Verify PyTorch sees GPU</t>
        </is>
      </c>
      <c r="C7" s="9" t="inlineStr">
        <is>
          <t>python -c 'import torch; print(torch.cuda.is_available())' → True ✓</t>
        </is>
      </c>
      <c r="D7" s="10" t="n">
        <v>0.5</v>
      </c>
      <c r="E7" s="24" t="inlineStr">
        <is>
          <t>Done</t>
        </is>
      </c>
      <c r="F7" s="12" t="n"/>
      <c r="G7" s="13">
        <f>IF(E7="Done","✓","")</f>
        <v/>
      </c>
      <c r="H7" s="9" t="n"/>
    </row>
    <row r="8" ht="21.75" customHeight="1" s="114">
      <c r="A8" s="7" t="n"/>
      <c r="B8" s="14" t="inlineStr">
        <is>
          <t>Install LM Studio</t>
        </is>
      </c>
      <c r="C8" s="15" t="inlineStr">
        <is>
          <t>Download from lmstudio.ai, install on Windows ✓</t>
        </is>
      </c>
      <c r="D8" s="16" t="n">
        <v>0.5</v>
      </c>
      <c r="E8" s="23" t="inlineStr">
        <is>
          <t>Done</t>
        </is>
      </c>
      <c r="F8" s="18" t="n"/>
      <c r="G8" s="19">
        <f>IF(E8="Done","✓","")</f>
        <v/>
      </c>
      <c r="H8" s="15" t="n"/>
    </row>
    <row r="9" ht="21.75" customHeight="1" s="114">
      <c r="A9" s="7" t="n"/>
      <c r="B9" s="8" t="inlineStr">
        <is>
          <t>Download Orpheus Q4_K_M GGUF model</t>
        </is>
      </c>
      <c r="C9" s="9" t="inlineStr">
        <is>
          <t>Search orpheus-3b-0.1-ft in LM Studio, download isaiahbjork Q4_K_M (~2GB) ✓</t>
        </is>
      </c>
      <c r="D9" s="10" t="n">
        <v>1</v>
      </c>
      <c r="E9" s="24" t="inlineStr">
        <is>
          <t>Done</t>
        </is>
      </c>
      <c r="F9" s="12" t="n"/>
      <c r="G9" s="13">
        <f>IF(E9="Done","✓","")</f>
        <v/>
      </c>
      <c r="H9" s="9" t="n"/>
    </row>
    <row r="10" ht="21.75" customHeight="1" s="114">
      <c r="A10" s="7" t="n"/>
      <c r="B10" s="14" t="inlineStr">
        <is>
          <t>Start LM Studio local server</t>
        </is>
      </c>
      <c r="C10" s="15" t="inlineStr">
        <is>
          <t>Toggle server ON in Developer tab → port 1234 ✓</t>
        </is>
      </c>
      <c r="D10" s="16" t="n">
        <v>0.5</v>
      </c>
      <c r="E10" s="23" t="inlineStr">
        <is>
          <t>Done</t>
        </is>
      </c>
      <c r="F10" s="18" t="n"/>
      <c r="G10" s="19">
        <f>IF(E10="Done","✓","")</f>
        <v/>
      </c>
      <c r="H10" s="15" t="n"/>
    </row>
    <row r="11" ht="21.75" customHeight="1" s="114">
      <c r="A11" s="7" t="n"/>
      <c r="B11" s="8" t="inlineStr">
        <is>
          <t>Clone orpheus-tts-local repo</t>
        </is>
      </c>
      <c r="C11" s="9" t="inlineStr">
        <is>
          <t>git clone https://github.com/isaiahbjork/orpheus-tts-local ✓</t>
        </is>
      </c>
      <c r="D11" s="10" t="n">
        <v>0.5</v>
      </c>
      <c r="E11" s="24" t="inlineStr">
        <is>
          <t>Done</t>
        </is>
      </c>
      <c r="F11" s="12" t="n"/>
      <c r="G11" s="13">
        <f>IF(E11="Done","✓","")</f>
        <v/>
      </c>
      <c r="H11" s="9" t="n"/>
    </row>
    <row r="12" ht="21.75" customHeight="1" s="114">
      <c r="A12" s="7" t="n"/>
      <c r="B12" s="14" t="inlineStr">
        <is>
          <t>Install repo dependencies</t>
        </is>
      </c>
      <c r="C12" s="15" t="inlineStr">
        <is>
          <t>pip install torch numpy sounddevice requests snac ✓</t>
        </is>
      </c>
      <c r="D12" s="16" t="n">
        <v>0.5</v>
      </c>
      <c r="E12" s="23" t="inlineStr">
        <is>
          <t>Done</t>
        </is>
      </c>
      <c r="F12" s="18" t="n"/>
      <c r="G12" s="19">
        <f>IF(E12="Done","✓","")</f>
        <v/>
      </c>
      <c r="H12" s="15" t="n"/>
    </row>
    <row r="13" ht="21.75" customHeight="1" s="114">
      <c r="A13" s="7" t="n"/>
      <c r="B13" s="8" t="inlineStr">
        <is>
          <t>Run example.py — basic TTS test</t>
        </is>
      </c>
      <c r="C13" s="9" t="inlineStr">
        <is>
          <t>python example.py → Tara + Leo voices generated ✓</t>
        </is>
      </c>
      <c r="D13" s="10" t="n">
        <v>0.5</v>
      </c>
      <c r="E13" s="24" t="inlineStr">
        <is>
          <t>Done</t>
        </is>
      </c>
      <c r="F13" s="12" t="n"/>
      <c r="G13" s="13">
        <f>IF(E13="Done","✓","")</f>
        <v/>
      </c>
      <c r="H13" s="9" t="n"/>
    </row>
    <row r="14" ht="21.75" customHeight="1" s="114">
      <c r="A14" s="7" t="n"/>
      <c r="B14" s="14" t="inlineStr">
        <is>
          <t>Test emotion tags</t>
        </is>
      </c>
      <c r="C14" s="15" t="inlineStr">
        <is>
          <t>&lt;laugh&gt; &lt;sigh&gt; &lt;whisper&gt; &lt;chuckle&gt; &lt;gasp&gt; all working ✓</t>
        </is>
      </c>
      <c r="D14" s="16" t="n">
        <v>0.5</v>
      </c>
      <c r="E14" s="23" t="inlineStr">
        <is>
          <t>Done</t>
        </is>
      </c>
      <c r="F14" s="18" t="n"/>
      <c r="G14" s="19">
        <f>IF(E14="Done","✓","")</f>
        <v/>
      </c>
      <c r="H14" s="15" t="n"/>
    </row>
    <row r="15" ht="21.75" customHeight="1" s="114">
      <c r="A15" s="7" t="n"/>
      <c r="B15" s="8" t="inlineStr">
        <is>
          <t>Listen and verify audio quality</t>
        </is>
      </c>
      <c r="C15" s="9" t="inlineStr">
        <is>
          <t>Verify voices sound natural and emotions render correctly ✓</t>
        </is>
      </c>
      <c r="D15" s="10" t="n">
        <v>0.5</v>
      </c>
      <c r="E15" s="24" t="inlineStr">
        <is>
          <t>Done</t>
        </is>
      </c>
      <c r="F15" s="12" t="n"/>
      <c r="G15" s="13">
        <f>IF(E15="Done","✓","")</f>
        <v/>
      </c>
      <c r="H15" s="9" t="n"/>
    </row>
    <row r="16" ht="21.75" customHeight="1" s="114">
      <c r="A16" s="7" t="n"/>
      <c r="B16" s="14" t="inlineStr">
        <is>
          <t>Install faster-whisper for STT</t>
        </is>
      </c>
      <c r="C16" s="15" t="inlineStr">
        <is>
          <t>pip install faster-whisper, test transcription on wav file</t>
        </is>
      </c>
      <c r="D16" s="16" t="n">
        <v>1</v>
      </c>
      <c r="E16" s="23" t="inlineStr">
        <is>
          <t>Done</t>
        </is>
      </c>
      <c r="F16" s="18" t="n"/>
      <c r="G16" s="19">
        <f>IF(E16="Done","✓","")</f>
        <v/>
      </c>
      <c r="H16" s="15" t="n"/>
    </row>
    <row r="17" ht="21.75" customHeight="1" s="114">
      <c r="A17" s="7" t="n"/>
      <c r="B17" s="8" t="inlineStr">
        <is>
          <t>Test STT on generated audio</t>
        </is>
      </c>
      <c r="C17" s="9" t="inlineStr">
        <is>
          <t>Transcribe Orpheus output, verify accuracy</t>
        </is>
      </c>
      <c r="D17" s="10" t="n">
        <v>0.5</v>
      </c>
      <c r="E17" s="24" t="inlineStr">
        <is>
          <t>Done</t>
        </is>
      </c>
      <c r="F17" s="12" t="n"/>
      <c r="G17" s="13">
        <f>IF(E17="Done","✓","")</f>
        <v/>
      </c>
      <c r="H17" s="9" t="n"/>
    </row>
    <row r="18" ht="21.75" customHeight="1" s="114">
      <c r="A18" s="7" t="n"/>
      <c r="B18" s="14" t="inlineStr">
        <is>
          <t>VRAM check</t>
        </is>
      </c>
      <c r="C18" s="15" t="inlineStr">
        <is>
          <t>nvidia-smi during generation → verify under 12GB limit</t>
        </is>
      </c>
      <c r="D18" s="16" t="n">
        <v>0.5</v>
      </c>
      <c r="E18" s="23" t="inlineStr">
        <is>
          <t>Done</t>
        </is>
      </c>
      <c r="F18" s="18" t="n"/>
      <c r="G18" s="19">
        <f>IF(E18="Done","✓","")</f>
        <v/>
      </c>
      <c r="H18" s="15" t="n"/>
    </row>
    <row r="19" ht="7.5" customHeight="1" s="114">
      <c r="E19" s="20" t="n"/>
    </row>
    <row r="20" ht="25.5" customHeight="1" s="114">
      <c r="A20" s="118" t="inlineStr">
        <is>
          <t xml:space="preserve">  Phase 2 — FastAPI Wrapper (Orpheus Bridge)</t>
        </is>
      </c>
    </row>
    <row r="21" ht="21.75" customHeight="1" s="114">
      <c r="A21" s="22" t="n"/>
      <c r="B21" s="8" t="inlineStr">
        <is>
          <t>Understand LM Studio API structure</t>
        </is>
      </c>
      <c r="C21" s="9" t="inlineStr">
        <is>
          <t>LM Studio exposes OpenAI-compatible API at localhost:1234</t>
        </is>
      </c>
      <c r="D21" s="10" t="n">
        <v>0.5</v>
      </c>
      <c r="E21" s="24" t="inlineStr">
        <is>
          <t>Done</t>
        </is>
      </c>
      <c r="F21" s="12" t="n"/>
      <c r="G21" s="13">
        <f>IF(E21="Done","✓","")</f>
        <v/>
      </c>
      <c r="H21" s="9" t="n"/>
    </row>
    <row r="22" ht="21.75" customHeight="1" s="114">
      <c r="A22" s="22" t="n"/>
      <c r="B22" s="14" t="inlineStr">
        <is>
          <t>Install FastAPI + uvicorn</t>
        </is>
      </c>
      <c r="C22" s="15" t="inlineStr">
        <is>
          <t>pip install fastapi uvicorn python-multipart soundfile</t>
        </is>
      </c>
      <c r="D22" s="16" t="n">
        <v>0.5</v>
      </c>
      <c r="E22" s="23" t="inlineStr">
        <is>
          <t>Done</t>
        </is>
      </c>
      <c r="F22" s="18" t="n"/>
      <c r="G22" s="19">
        <f>IF(E22="Done","✓","")</f>
        <v/>
      </c>
      <c r="H22" s="15" t="n"/>
    </row>
    <row r="23" ht="21.75" customHeight="1" s="114">
      <c r="A23" s="22" t="n"/>
      <c r="B23" s="8" t="inlineStr">
        <is>
          <t>Build /tts endpoint</t>
        </is>
      </c>
      <c r="C23" s="9" t="inlineStr">
        <is>
          <t>POST text+voice → calls LM Studio:1234 → decodes SNAC tokens → returns .wav</t>
        </is>
      </c>
      <c r="D23" s="10" t="n">
        <v>2.5</v>
      </c>
      <c r="E23" s="24" t="inlineStr">
        <is>
          <t>Done</t>
        </is>
      </c>
      <c r="F23" s="12" t="n"/>
      <c r="G23" s="13">
        <f>IF(E23="Done","✓","")</f>
        <v/>
      </c>
      <c r="H23" s="9" t="n"/>
    </row>
    <row r="24" ht="21.75" customHeight="1" s="114">
      <c r="A24" s="22" t="n"/>
      <c r="B24" s="14" t="inlineStr">
        <is>
          <t>Integrate SNAC decoder</t>
        </is>
      </c>
      <c r="C24" s="15" t="inlineStr">
        <is>
          <t>pip install snac → decode Orpheus token output into audio waveform</t>
        </is>
      </c>
      <c r="D24" s="16" t="n">
        <v>1.5</v>
      </c>
      <c r="E24" s="23" t="inlineStr">
        <is>
          <t>Done</t>
        </is>
      </c>
      <c r="F24" s="18" t="n"/>
      <c r="G24" s="19">
        <f>IF(E24="Done","✓","")</f>
        <v/>
      </c>
      <c r="H24" s="15" t="n"/>
    </row>
    <row r="25" ht="21.75" customHeight="1" s="114">
      <c r="A25" s="22" t="n"/>
      <c r="B25" s="8" t="inlineStr">
        <is>
          <t>Build /tts/voices endpoint</t>
        </is>
      </c>
      <c r="C25" s="9" t="inlineStr">
        <is>
          <t>GET /voices → returns list of 8 available Orpheus voices</t>
        </is>
      </c>
      <c r="D25" s="10" t="n">
        <v>0.5</v>
      </c>
      <c r="E25" s="24" t="inlineStr">
        <is>
          <t>Done</t>
        </is>
      </c>
      <c r="F25" s="12" t="n"/>
      <c r="G25" s="13">
        <f>IF(E25="Done","✓","")</f>
        <v/>
      </c>
      <c r="H25" s="9" t="n"/>
    </row>
    <row r="26" ht="21.75" customHeight="1" s="114">
      <c r="A26" s="22" t="n"/>
      <c r="B26" s="14" t="inlineStr">
        <is>
          <t>Build /stt endpoint</t>
        </is>
      </c>
      <c r="C26" s="15" t="inlineStr">
        <is>
          <t>POST audio file → faster-whisper transcribes → returns JSON transcript</t>
        </is>
      </c>
      <c r="D26" s="16" t="n">
        <v>1.5</v>
      </c>
      <c r="E26" s="23" t="inlineStr">
        <is>
          <t>Done</t>
        </is>
      </c>
      <c r="F26" s="18" t="n"/>
      <c r="G26" s="19">
        <f>IF(E26="Done","✓","")</f>
        <v/>
      </c>
      <c r="H26" s="15" t="n"/>
    </row>
    <row r="27" ht="21.75" customHeight="1" s="114">
      <c r="A27" s="22" t="n"/>
      <c r="B27" s="8" t="inlineStr">
        <is>
          <t>Add emotion tag validator</t>
        </is>
      </c>
      <c r="C27" s="9" t="inlineStr">
        <is>
          <t>Whitelist valid tags: laugh,sigh,whisper,chuckle,gasp,cough,groan,yawn</t>
        </is>
      </c>
      <c r="D27" s="10" t="n">
        <v>1</v>
      </c>
      <c r="E27" s="24" t="inlineStr">
        <is>
          <t>Done</t>
        </is>
      </c>
      <c r="F27" s="12" t="n"/>
      <c r="G27" s="13">
        <f>IF(E27="Done","✓","")</f>
        <v/>
      </c>
      <c r="H27" s="9" t="n"/>
    </row>
    <row r="28" ht="21.75" customHeight="1" s="114">
      <c r="A28" s="22" t="n"/>
      <c r="B28" s="14" t="inlineStr">
        <is>
          <t>Add API key auth middleware</t>
        </is>
      </c>
      <c r="C28" s="15" t="inlineStr">
        <is>
          <t>Validate Bearer token on all routes before processing</t>
        </is>
      </c>
      <c r="D28" s="16" t="n">
        <v>1</v>
      </c>
      <c r="E28" s="23" t="inlineStr">
        <is>
          <t>Done</t>
        </is>
      </c>
      <c r="F28" s="18" t="n">
        <v>1</v>
      </c>
      <c r="G28" s="19">
        <f>IF(E28="Done","✓","")</f>
        <v/>
      </c>
      <c r="H28" s="15" t="n"/>
    </row>
    <row r="29" ht="21.75" customHeight="1" s="114">
      <c r="A29" s="22" t="n"/>
      <c r="B29" s="8" t="inlineStr">
        <is>
          <t>Add char count + credit deduction</t>
        </is>
      </c>
      <c r="C29" s="9" t="inlineStr">
        <is>
          <t>Count input chars → call Express credit API → deduct before generating</t>
        </is>
      </c>
      <c r="D29" s="10" t="n">
        <v>1</v>
      </c>
      <c r="E29" s="24" t="inlineStr">
        <is>
          <t>Done</t>
        </is>
      </c>
      <c r="F29" s="12" t="n">
        <v>1</v>
      </c>
      <c r="G29" s="13">
        <f>IF(E29="Done","✓","")</f>
        <v/>
      </c>
      <c r="H29" s="9" t="n"/>
    </row>
    <row r="30" ht="21.75" customHeight="1" s="114">
      <c r="A30" s="22" t="n"/>
      <c r="B30" s="14" t="inlineStr">
        <is>
          <t>Stream audio response to client</t>
        </is>
      </c>
      <c r="C30" s="15" t="inlineStr">
        <is>
          <t>Pipe generated wav bytes directly to response, set audio/wav header</t>
        </is>
      </c>
      <c r="D30" s="16" t="n">
        <v>1.5</v>
      </c>
      <c r="E30" s="23" t="inlineStr">
        <is>
          <t>Done</t>
        </is>
      </c>
      <c r="F30" s="18" t="n">
        <v>1</v>
      </c>
      <c r="G30" s="19">
        <f>IF(E30="Done","✓","")</f>
        <v/>
      </c>
      <c r="H30" s="15" t="n"/>
    </row>
    <row r="31" ht="21.75" customHeight="1" s="114">
      <c r="A31" s="22" t="n"/>
      <c r="B31" s="8" t="inlineStr">
        <is>
          <t>Test all endpoints via Postman</t>
        </is>
      </c>
      <c r="C31" s="9" t="inlineStr">
        <is>
          <t>TTS → STT → voices → verify auth, credits, audio quality</t>
        </is>
      </c>
      <c r="D31" s="10" t="n">
        <v>1.5</v>
      </c>
      <c r="E31" s="24" t="inlineStr">
        <is>
          <t>Done</t>
        </is>
      </c>
      <c r="F31" s="12" t="n">
        <v>1</v>
      </c>
      <c r="G31" s="13">
        <f>IF(E31="Done","✓","")</f>
        <v/>
      </c>
      <c r="H31" s="9" t="n"/>
    </row>
    <row r="32" ht="21.75" customHeight="1" s="114">
      <c r="A32" s="22" t="n"/>
      <c r="B32" s="14" t="inlineStr">
        <is>
          <t>Expose via ngrok for frontend dev</t>
        </is>
      </c>
      <c r="C32" s="15" t="inlineStr">
        <is>
          <t>ngrok http 8000 → public URL for Next.js frontend testing</t>
        </is>
      </c>
      <c r="D32" s="16" t="n">
        <v>0.5</v>
      </c>
      <c r="E32" s="23" t="inlineStr">
        <is>
          <t>Done</t>
        </is>
      </c>
      <c r="F32" s="18" t="n">
        <v>1</v>
      </c>
      <c r="G32" s="19">
        <f>IF(E32="Done","✓","")</f>
        <v/>
      </c>
      <c r="H32" s="15" t="n"/>
    </row>
    <row r="33" ht="21.75" customHeight="1" s="114">
      <c r="A33" s="22" t="n"/>
      <c r="B33" s="8" t="inlineStr">
        <is>
          <t>Write Dockerfile for production</t>
        </is>
      </c>
      <c r="C33" s="9" t="inlineStr">
        <is>
          <t>Orpheus GGUF + faster-whisper + FastAPI in one Linux image</t>
        </is>
      </c>
      <c r="D33" s="10" t="n">
        <v>2</v>
      </c>
      <c r="E33" s="24" t="inlineStr">
        <is>
          <t>Done</t>
        </is>
      </c>
      <c r="F33" s="12" t="n">
        <v>1</v>
      </c>
      <c r="G33" s="13">
        <f>IF(E33="Done","✓","")</f>
        <v/>
      </c>
      <c r="H33" s="9" t="n"/>
    </row>
    <row r="34" ht="21.75" customHeight="1" s="114">
      <c r="A34" s="22" t="n"/>
      <c r="B34" s="14" t="inlineStr">
        <is>
          <t>Test Docker image locally</t>
        </is>
      </c>
      <c r="C34" s="15" t="inlineStr">
        <is>
          <t>docker build + run → verify same behavior as local server</t>
        </is>
      </c>
      <c r="D34" s="16" t="n">
        <v>1</v>
      </c>
      <c r="E34" s="23" t="inlineStr">
        <is>
          <t>Done</t>
        </is>
      </c>
      <c r="F34" s="18" t="n">
        <v>1</v>
      </c>
      <c r="G34" s="19">
        <f>IF(E34="Done","✓","")</f>
        <v/>
      </c>
      <c r="H34" s="15" t="n"/>
    </row>
    <row r="35" ht="21.75" customHeight="1" s="114">
      <c r="A35" s="22" t="n"/>
      <c r="B35" s="8" t="inlineStr">
        <is>
          <t>Document all API routes</t>
        </is>
      </c>
      <c r="C35" s="9" t="inlineStr">
        <is>
          <t>Write endpoint docs: params, responses, error codes</t>
        </is>
      </c>
      <c r="D35" s="10" t="n">
        <v>1</v>
      </c>
      <c r="E35" s="24" t="inlineStr">
        <is>
          <t>Done</t>
        </is>
      </c>
      <c r="F35" s="12" t="n">
        <v>1</v>
      </c>
      <c r="G35" s="13">
        <f>IF(E35="Done","✓","")</f>
        <v/>
      </c>
      <c r="H35" s="9" t="n"/>
    </row>
    <row r="36" ht="7.5" customHeight="1" s="114">
      <c r="E36" s="20" t="n"/>
    </row>
    <row r="37" ht="25.5" customHeight="1" s="114">
      <c r="A37" s="119" t="inlineStr">
        <is>
          <t xml:space="preserve">  Phase 3 — Express Backend</t>
        </is>
      </c>
    </row>
    <row r="38" ht="21.75" customHeight="1" s="114">
      <c r="A38" s="26" t="n"/>
      <c r="B38" s="8" t="inlineStr">
        <is>
          <t>Init Node.js + Express project</t>
        </is>
      </c>
      <c r="C38" s="9" t="inlineStr">
        <is>
          <t>npm init, install express cors dotenv</t>
        </is>
      </c>
      <c r="D38" s="10" t="n">
        <v>0.5</v>
      </c>
      <c r="E38" s="24" t="inlineStr">
        <is>
          <t>Not Started</t>
        </is>
      </c>
      <c r="F38" s="12" t="n"/>
      <c r="G38" s="13">
        <f>IF(E38="Done","✓","")</f>
        <v/>
      </c>
      <c r="H38" s="9" t="n"/>
    </row>
    <row r="39" ht="21.75" customHeight="1" s="114">
      <c r="A39" s="26" t="n"/>
      <c r="B39" s="14" t="inlineStr">
        <is>
          <t>Setup PostgreSQL + Prisma</t>
        </is>
      </c>
      <c r="C39" s="15" t="inlineStr">
        <is>
          <t>neon.tech free DB + prisma init</t>
        </is>
      </c>
      <c r="D39" s="16" t="n">
        <v>1.5</v>
      </c>
      <c r="E39" s="23" t="inlineStr">
        <is>
          <t>Not Started</t>
        </is>
      </c>
      <c r="F39" s="18" t="n"/>
      <c r="G39" s="19">
        <f>IF(E39="Done","✓","")</f>
        <v/>
      </c>
      <c r="H39" s="15" t="n"/>
    </row>
    <row r="40" ht="21.75" customHeight="1" s="114">
      <c r="A40" s="26" t="n"/>
      <c r="B40" s="8" t="inlineStr">
        <is>
          <t>Design DB schema</t>
        </is>
      </c>
      <c r="C40" s="9" t="inlineStr">
        <is>
          <t>Users, ApiKeys, Credits, UsageLogs tables</t>
        </is>
      </c>
      <c r="D40" s="10" t="n">
        <v>1.5</v>
      </c>
      <c r="E40" s="24" t="inlineStr">
        <is>
          <t>Not Started</t>
        </is>
      </c>
      <c r="F40" s="12" t="n"/>
      <c r="G40" s="13">
        <f>IF(E40="Done","✓","")</f>
        <v/>
      </c>
      <c r="H40" s="9" t="n"/>
    </row>
    <row r="41" ht="21.75" customHeight="1" s="114">
      <c r="A41" s="26" t="n"/>
      <c r="B41" s="14" t="inlineStr">
        <is>
          <t>Run prisma migrate</t>
        </is>
      </c>
      <c r="C41" s="15" t="inlineStr">
        <is>
          <t>Push schema to DB, verify tables created</t>
        </is>
      </c>
      <c r="D41" s="16" t="n">
        <v>0.5</v>
      </c>
      <c r="E41" s="23" t="inlineStr">
        <is>
          <t>Not Started</t>
        </is>
      </c>
      <c r="F41" s="18" t="n"/>
      <c r="G41" s="19">
        <f>IF(E41="Done","✓","")</f>
        <v/>
      </c>
      <c r="H41" s="15" t="n"/>
    </row>
    <row r="42" ht="21.75" customHeight="1" s="114">
      <c r="A42" s="26" t="n"/>
      <c r="B42" s="8" t="inlineStr">
        <is>
          <t>Build JWT auth (register/login)</t>
        </is>
      </c>
      <c r="C42" s="9" t="inlineStr">
        <is>
          <t>POST /auth/register + /auth/login endpoints</t>
        </is>
      </c>
      <c r="D42" s="10" t="n">
        <v>2</v>
      </c>
      <c r="E42" s="24" t="inlineStr">
        <is>
          <t>Not Started</t>
        </is>
      </c>
      <c r="F42" s="12" t="n"/>
      <c r="G42" s="13">
        <f>IF(E42="Done","✓","")</f>
        <v/>
      </c>
      <c r="H42" s="9" t="n"/>
    </row>
    <row r="43" ht="21.75" customHeight="1" s="114">
      <c r="A43" s="26" t="n"/>
      <c r="B43" s="14" t="inlineStr">
        <is>
          <t>Build API key system</t>
        </is>
      </c>
      <c r="C43" s="15" t="inlineStr">
        <is>
          <t>Generate, hash, validate API keys per user</t>
        </is>
      </c>
      <c r="D43" s="16" t="n">
        <v>2</v>
      </c>
      <c r="E43" s="23" t="inlineStr">
        <is>
          <t>Not Started</t>
        </is>
      </c>
      <c r="F43" s="18" t="n"/>
      <c r="G43" s="19">
        <f>IF(E43="Done","✓","")</f>
        <v/>
      </c>
      <c r="H43" s="15" t="n"/>
    </row>
    <row r="44" ht="21.75" customHeight="1" s="114">
      <c r="A44" s="26" t="n"/>
      <c r="B44" s="8" t="inlineStr">
        <is>
          <t>Build credit system</t>
        </is>
      </c>
      <c r="C44" s="9" t="inlineStr">
        <is>
          <t>Deduct credits per char on each TTS request</t>
        </is>
      </c>
      <c r="D44" s="10" t="n">
        <v>2</v>
      </c>
      <c r="E44" s="24" t="inlineStr">
        <is>
          <t>Not Started</t>
        </is>
      </c>
      <c r="F44" s="12" t="n"/>
      <c r="G44" s="13">
        <f>IF(E44="Done","✓","")</f>
        <v/>
      </c>
      <c r="H44" s="9" t="n"/>
    </row>
    <row r="45" ht="21.75" customHeight="1" s="114">
      <c r="A45" s="26" t="n"/>
      <c r="B45" s="14" t="inlineStr">
        <is>
          <t>Integrate Razorpay billing</t>
        </is>
      </c>
      <c r="C45" s="15" t="inlineStr">
        <is>
          <t>Create order, verify payment, top up credits</t>
        </is>
      </c>
      <c r="D45" s="16" t="n">
        <v>3</v>
      </c>
      <c r="E45" s="23" t="inlineStr">
        <is>
          <t>Not Started</t>
        </is>
      </c>
      <c r="F45" s="18" t="n"/>
      <c r="G45" s="19">
        <f>IF(E45="Done","✓","")</f>
        <v/>
      </c>
      <c r="H45" s="15" t="n"/>
    </row>
    <row r="46" ht="21.75" customHeight="1" s="114">
      <c r="A46" s="26" t="n"/>
      <c r="B46" s="8" t="inlineStr">
        <is>
          <t>Build proxy route to FastAPI</t>
        </is>
      </c>
      <c r="C46" s="9" t="inlineStr">
        <is>
          <t>Express forwards TTS/STT calls to Python server</t>
        </is>
      </c>
      <c r="D46" s="10" t="n">
        <v>1.5</v>
      </c>
      <c r="E46" s="24" t="inlineStr">
        <is>
          <t>Not Started</t>
        </is>
      </c>
      <c r="F46" s="12" t="n"/>
      <c r="G46" s="13">
        <f>IF(E46="Done","✓","")</f>
        <v/>
      </c>
      <c r="H46" s="9" t="n"/>
    </row>
    <row r="47" ht="21.75" customHeight="1" s="114">
      <c r="A47" s="26" t="n"/>
      <c r="B47" s="14" t="inlineStr">
        <is>
          <t>Add rate limiting (express-rate-limit)</t>
        </is>
      </c>
      <c r="C47" s="15" t="inlineStr">
        <is>
          <t>Prevent abuse, per API key limits</t>
        </is>
      </c>
      <c r="D47" s="16" t="n">
        <v>1</v>
      </c>
      <c r="E47" s="23" t="inlineStr">
        <is>
          <t>Not Started</t>
        </is>
      </c>
      <c r="F47" s="18" t="n"/>
      <c r="G47" s="19">
        <f>IF(E47="Done","✓","")</f>
        <v/>
      </c>
      <c r="H47" s="15" t="n"/>
    </row>
    <row r="48" ht="21.75" customHeight="1" s="114">
      <c r="A48" s="26" t="n"/>
      <c r="B48" s="8" t="inlineStr">
        <is>
          <t>Build usage analytics endpoint</t>
        </is>
      </c>
      <c r="C48" s="9" t="inlineStr">
        <is>
          <t>GET /usage → chars used, calls made, credits left</t>
        </is>
      </c>
      <c r="D48" s="10" t="n">
        <v>1.5</v>
      </c>
      <c r="E48" s="24" t="inlineStr">
        <is>
          <t>Not Started</t>
        </is>
      </c>
      <c r="F48" s="12" t="n"/>
      <c r="G48" s="13">
        <f>IF(E48="Done","✓","")</f>
        <v/>
      </c>
      <c r="H48" s="9" t="n"/>
    </row>
    <row r="49" ht="21.75" customHeight="1" s="114">
      <c r="A49" s="26" t="n"/>
      <c r="B49" s="14" t="inlineStr">
        <is>
          <t>Add BullMQ job queue</t>
        </is>
      </c>
      <c r="C49" s="15" t="inlineStr">
        <is>
          <t>Queue heavy requests, prevent server overload</t>
        </is>
      </c>
      <c r="D49" s="16" t="n">
        <v>2</v>
      </c>
      <c r="E49" s="23" t="inlineStr">
        <is>
          <t>Not Started</t>
        </is>
      </c>
      <c r="F49" s="18" t="n"/>
      <c r="G49" s="19">
        <f>IF(E49="Done","✓","")</f>
        <v/>
      </c>
      <c r="H49" s="15" t="n"/>
    </row>
    <row r="50" ht="21.75" customHeight="1" s="114">
      <c r="A50" s="26" t="n"/>
      <c r="B50" s="8" t="inlineStr">
        <is>
          <t>Write .env config + error handlers</t>
        </is>
      </c>
      <c r="C50" s="9" t="inlineStr">
        <is>
          <t>Clean error responses, env validation</t>
        </is>
      </c>
      <c r="D50" s="10" t="n">
        <v>1</v>
      </c>
      <c r="E50" s="24" t="inlineStr">
        <is>
          <t>Not Started</t>
        </is>
      </c>
      <c r="F50" s="12" t="n"/>
      <c r="G50" s="13">
        <f>IF(E50="Done","✓","")</f>
        <v/>
      </c>
      <c r="H50" s="9" t="n"/>
    </row>
    <row r="51" ht="21.75" customHeight="1" s="114">
      <c r="A51" s="26" t="n"/>
      <c r="B51" s="14" t="inlineStr">
        <is>
          <t>Test full backend flow via Postman</t>
        </is>
      </c>
      <c r="C51" s="15" t="inlineStr">
        <is>
          <t>Auth → get key → TTS call → credit deducted</t>
        </is>
      </c>
      <c r="D51" s="16" t="n">
        <v>2</v>
      </c>
      <c r="E51" s="23" t="inlineStr">
        <is>
          <t>Not Started</t>
        </is>
      </c>
      <c r="F51" s="18" t="n"/>
      <c r="G51" s="19">
        <f>IF(E51="Done","✓","")</f>
        <v/>
      </c>
      <c r="H51" s="15" t="n"/>
    </row>
    <row r="52" ht="7.5" customHeight="1" s="114">
      <c r="E52" s="20" t="n"/>
    </row>
    <row r="53" ht="25.5" customHeight="1" s="114">
      <c r="A53" s="120" t="inlineStr">
        <is>
          <t xml:space="preserve">  Phase 4 — Next.js Frontend</t>
        </is>
      </c>
    </row>
    <row r="54" ht="21.75" customHeight="1" s="114">
      <c r="A54" s="28" t="n"/>
      <c r="B54" s="8" t="inlineStr">
        <is>
          <t>Init Next.js 14 project</t>
        </is>
      </c>
      <c r="C54" s="9" t="inlineStr">
        <is>
          <t>npx create-next-app, add Tailwind + shadcn/ui</t>
        </is>
      </c>
      <c r="D54" s="10" t="n">
        <v>1</v>
      </c>
      <c r="E54" s="24" t="inlineStr">
        <is>
          <t>Not Started</t>
        </is>
      </c>
      <c r="F54" s="12" t="n"/>
      <c r="G54" s="13">
        <f>IF(E54="Done","✓","")</f>
        <v/>
      </c>
      <c r="H54" s="9" t="n"/>
    </row>
    <row r="55" ht="21.75" customHeight="1" s="114">
      <c r="A55" s="28" t="n"/>
      <c r="B55" s="14" t="inlineStr">
        <is>
          <t>Build landing page</t>
        </is>
      </c>
      <c r="C55" s="15" t="inlineStr">
        <is>
          <t>Hero, pricing section, feature list, CTA</t>
        </is>
      </c>
      <c r="D55" s="16" t="n">
        <v>4</v>
      </c>
      <c r="E55" s="23" t="inlineStr">
        <is>
          <t>Not Started</t>
        </is>
      </c>
      <c r="F55" s="18" t="n"/>
      <c r="G55" s="19">
        <f>IF(E55="Done","✓","")</f>
        <v/>
      </c>
      <c r="H55" s="15" t="n"/>
    </row>
    <row r="56" ht="21.75" customHeight="1" s="114">
      <c r="A56" s="28" t="n"/>
      <c r="B56" s="8" t="inlineStr">
        <is>
          <t>Build auth pages (login/register)</t>
        </is>
      </c>
      <c r="C56" s="9" t="inlineStr">
        <is>
          <t>Forms with validation, connect to Express auth</t>
        </is>
      </c>
      <c r="D56" s="10" t="n">
        <v>2</v>
      </c>
      <c r="E56" s="24" t="inlineStr">
        <is>
          <t>Not Started</t>
        </is>
      </c>
      <c r="F56" s="12" t="n"/>
      <c r="G56" s="13">
        <f>IF(E56="Done","✓","")</f>
        <v/>
      </c>
      <c r="H56" s="9" t="n"/>
    </row>
    <row r="57" ht="21.75" customHeight="1" s="114">
      <c r="A57" s="28" t="n"/>
      <c r="B57" s="14" t="inlineStr">
        <is>
          <t>Build dashboard layout</t>
        </is>
      </c>
      <c r="C57" s="15" t="inlineStr">
        <is>
          <t>Sidebar nav, header with credit balance</t>
        </is>
      </c>
      <c r="D57" s="16" t="n">
        <v>2</v>
      </c>
      <c r="E57" s="23" t="inlineStr">
        <is>
          <t>Not Started</t>
        </is>
      </c>
      <c r="F57" s="18" t="n"/>
      <c r="G57" s="19">
        <f>IF(E57="Done","✓","")</f>
        <v/>
      </c>
      <c r="H57" s="15" t="n"/>
    </row>
    <row r="58" ht="21.75" customHeight="1" s="114">
      <c r="A58" s="28" t="n"/>
      <c r="B58" s="8" t="inlineStr">
        <is>
          <t>Build Voice Studio UI</t>
        </is>
      </c>
      <c r="C58" s="9" t="inlineStr">
        <is>
          <t>Text input, voice selector, generate button, player</t>
        </is>
      </c>
      <c r="D58" s="10" t="n">
        <v>4</v>
      </c>
      <c r="E58" s="24" t="inlineStr">
        <is>
          <t>Not Started</t>
        </is>
      </c>
      <c r="F58" s="12" t="n"/>
      <c r="G58" s="13">
        <f>IF(E58="Done","✓","")</f>
        <v/>
      </c>
      <c r="H58" s="9" t="n"/>
    </row>
    <row r="59" ht="21.75" customHeight="1" s="114">
      <c r="A59" s="28" t="n"/>
      <c r="B59" s="14" t="inlineStr">
        <is>
          <t>Build API key manager page</t>
        </is>
      </c>
      <c r="C59" s="15" t="inlineStr">
        <is>
          <t>Create/delete/copy keys, usage per key</t>
        </is>
      </c>
      <c r="D59" s="16" t="n">
        <v>2</v>
      </c>
      <c r="E59" s="23" t="inlineStr">
        <is>
          <t>Not Started</t>
        </is>
      </c>
      <c r="F59" s="18" t="n"/>
      <c r="G59" s="19">
        <f>IF(E59="Done","✓","")</f>
        <v/>
      </c>
      <c r="H59" s="15" t="n"/>
    </row>
    <row r="60" ht="21.75" customHeight="1" s="114">
      <c r="A60" s="28" t="n"/>
      <c r="B60" s="8" t="inlineStr">
        <is>
          <t>Build credit &amp; billing page</t>
        </is>
      </c>
      <c r="C60" s="9" t="inlineStr">
        <is>
          <t>Current balance, top-up with Razorpay, history</t>
        </is>
      </c>
      <c r="D60" s="10" t="n">
        <v>3</v>
      </c>
      <c r="E60" s="24" t="inlineStr">
        <is>
          <t>Not Started</t>
        </is>
      </c>
      <c r="F60" s="12" t="n"/>
      <c r="G60" s="13">
        <f>IF(E60="Done","✓","")</f>
        <v/>
      </c>
      <c r="H60" s="9" t="n"/>
    </row>
    <row r="61" ht="21.75" customHeight="1" s="114">
      <c r="A61" s="28" t="n"/>
      <c r="B61" s="14" t="inlineStr">
        <is>
          <t>Build usage analytics page</t>
        </is>
      </c>
      <c r="C61" s="15" t="inlineStr">
        <is>
          <t>Charts: chars/day, calls/day, credit burn rate</t>
        </is>
      </c>
      <c r="D61" s="16" t="n">
        <v>3</v>
      </c>
      <c r="E61" s="23" t="inlineStr">
        <is>
          <t>Not Started</t>
        </is>
      </c>
      <c r="F61" s="18" t="n"/>
      <c r="G61" s="19">
        <f>IF(E61="Done","✓","")</f>
        <v/>
      </c>
      <c r="H61" s="15" t="n"/>
    </row>
    <row r="62" ht="21.75" customHeight="1" s="114">
      <c r="A62" s="28" t="n"/>
      <c r="B62" s="8" t="inlineStr">
        <is>
          <t>Connect all pages to Express API</t>
        </is>
      </c>
      <c r="C62" s="9" t="inlineStr">
        <is>
          <t>Axios/fetch calls, auth headers, error states</t>
        </is>
      </c>
      <c r="D62" s="10" t="n">
        <v>3</v>
      </c>
      <c r="E62" s="24" t="inlineStr">
        <is>
          <t>Not Started</t>
        </is>
      </c>
      <c r="F62" s="12" t="n"/>
      <c r="G62" s="13">
        <f>IF(E62="Done","✓","")</f>
        <v/>
      </c>
      <c r="H62" s="9" t="n"/>
    </row>
    <row r="63" ht="21.75" customHeight="1" s="114">
      <c r="A63" s="28" t="n"/>
      <c r="B63" s="14" t="inlineStr">
        <is>
          <t>Add loading states + error handling</t>
        </is>
      </c>
      <c r="C63" s="15" t="inlineStr">
        <is>
          <t>Skeletons, toasts, retry logic</t>
        </is>
      </c>
      <c r="D63" s="16" t="n">
        <v>2</v>
      </c>
      <c r="E63" s="23" t="inlineStr">
        <is>
          <t>Not Started</t>
        </is>
      </c>
      <c r="F63" s="18" t="n"/>
      <c r="G63" s="19">
        <f>IF(E63="Done","✓","")</f>
        <v/>
      </c>
      <c r="H63" s="15" t="n"/>
    </row>
    <row r="64" ht="21.75" customHeight="1" s="114">
      <c r="A64" s="28" t="n"/>
      <c r="B64" s="8" t="inlineStr">
        <is>
          <t>Mobile responsiveness</t>
        </is>
      </c>
      <c r="C64" s="9" t="inlineStr">
        <is>
          <t>All pages work on phone/tablet</t>
        </is>
      </c>
      <c r="D64" s="10" t="n">
        <v>2</v>
      </c>
      <c r="E64" s="24" t="inlineStr">
        <is>
          <t>Not Started</t>
        </is>
      </c>
      <c r="F64" s="12" t="n"/>
      <c r="G64" s="13">
        <f>IF(E64="Done","✓","")</f>
        <v/>
      </c>
      <c r="H64" s="9" t="n"/>
    </row>
    <row r="65" ht="7.5" customHeight="1" s="114">
      <c r="E65" s="20" t="n"/>
    </row>
    <row r="66" ht="25.5" customHeight="1" s="114">
      <c r="A66" s="121" t="inlineStr">
        <is>
          <t xml:space="preserve">  Phase 5 — Integration &amp; QA</t>
        </is>
      </c>
    </row>
    <row r="67" ht="21.75" customHeight="1" s="114">
      <c r="A67" s="30" t="n"/>
      <c r="B67" s="8" t="inlineStr">
        <is>
          <t>Full E2E flow test</t>
        </is>
      </c>
      <c r="C67" s="9" t="inlineStr">
        <is>
          <t>Register → top up → generate TTS → download</t>
        </is>
      </c>
      <c r="D67" s="10" t="n">
        <v>2</v>
      </c>
      <c r="E67" s="24" t="inlineStr">
        <is>
          <t>Not Started</t>
        </is>
      </c>
      <c r="F67" s="12" t="n"/>
      <c r="G67" s="13">
        <f>IF(E67="Done","✓","")</f>
        <v/>
      </c>
      <c r="H67" s="9" t="n"/>
    </row>
    <row r="68" ht="21.75" customHeight="1" s="114">
      <c r="A68" s="30" t="n"/>
      <c r="B68" s="14" t="inlineStr">
        <is>
          <t>Voice clone E2E test</t>
        </is>
      </c>
      <c r="C68" s="15" t="inlineStr">
        <is>
          <t>Upload audio → clone → generate → verify quality</t>
        </is>
      </c>
      <c r="D68" s="16" t="n">
        <v>1.5</v>
      </c>
      <c r="E68" s="23" t="inlineStr">
        <is>
          <t>Not Started</t>
        </is>
      </c>
      <c r="F68" s="18" t="n"/>
      <c r="G68" s="19">
        <f>IF(E68="Done","✓","")</f>
        <v/>
      </c>
      <c r="H68" s="15" t="n"/>
    </row>
    <row r="69" ht="21.75" customHeight="1" s="114">
      <c r="A69" s="30" t="n"/>
      <c r="B69" s="8" t="inlineStr">
        <is>
          <t>STT E2E test</t>
        </is>
      </c>
      <c r="C69" s="9" t="inlineStr">
        <is>
          <t>Upload audio → transcript → verify accuracy</t>
        </is>
      </c>
      <c r="D69" s="10" t="n">
        <v>1</v>
      </c>
      <c r="E69" s="24" t="inlineStr">
        <is>
          <t>Not Started</t>
        </is>
      </c>
      <c r="F69" s="12" t="n"/>
      <c r="G69" s="13">
        <f>IF(E69="Done","✓","")</f>
        <v/>
      </c>
      <c r="H69" s="9" t="n"/>
    </row>
    <row r="70" ht="21.75" customHeight="1" s="114">
      <c r="A70" s="30" t="n"/>
      <c r="B70" s="14" t="inlineStr">
        <is>
          <t>Credit deduction accuracy test</t>
        </is>
      </c>
      <c r="C70" s="15" t="inlineStr">
        <is>
          <t>Verify chars counted correctly per request</t>
        </is>
      </c>
      <c r="D70" s="16" t="n">
        <v>1</v>
      </c>
      <c r="E70" s="23" t="inlineStr">
        <is>
          <t>Not Started</t>
        </is>
      </c>
      <c r="F70" s="18" t="n"/>
      <c r="G70" s="19">
        <f>IF(E70="Done","✓","")</f>
        <v/>
      </c>
      <c r="H70" s="15" t="n"/>
    </row>
    <row r="71" ht="21.75" customHeight="1" s="114">
      <c r="A71" s="30" t="n"/>
      <c r="B71" s="8" t="inlineStr">
        <is>
          <t>API key auth test</t>
        </is>
      </c>
      <c r="C71" s="9" t="inlineStr">
        <is>
          <t>Valid key works, invalid rejected, expired handled</t>
        </is>
      </c>
      <c r="D71" s="10" t="n">
        <v>1</v>
      </c>
      <c r="E71" s="24" t="inlineStr">
        <is>
          <t>Not Started</t>
        </is>
      </c>
      <c r="F71" s="12" t="n"/>
      <c r="G71" s="13">
        <f>IF(E71="Done","✓","")</f>
        <v/>
      </c>
      <c r="H71" s="9" t="n"/>
    </row>
    <row r="72" ht="21.75" customHeight="1" s="114">
      <c r="A72" s="30" t="n"/>
      <c r="B72" s="14" t="inlineStr">
        <is>
          <t>Load test FastAPI server</t>
        </is>
      </c>
      <c r="C72" s="15" t="inlineStr">
        <is>
          <t>Send 10 concurrent requests, check stability</t>
        </is>
      </c>
      <c r="D72" s="16" t="n">
        <v>1.5</v>
      </c>
      <c r="E72" s="23" t="inlineStr">
        <is>
          <t>Not Started</t>
        </is>
      </c>
      <c r="F72" s="18" t="n"/>
      <c r="G72" s="19">
        <f>IF(E72="Done","✓","")</f>
        <v/>
      </c>
      <c r="H72" s="15" t="n"/>
    </row>
    <row r="73" ht="21.75" customHeight="1" s="114">
      <c r="A73" s="30" t="n"/>
      <c r="B73" s="8" t="inlineStr">
        <is>
          <t>Fix bugs from testing</t>
        </is>
      </c>
      <c r="C73" s="9" t="inlineStr">
        <is>
          <t>Address all issues found in E2E tests</t>
        </is>
      </c>
      <c r="D73" s="10" t="n">
        <v>3</v>
      </c>
      <c r="E73" s="24" t="inlineStr">
        <is>
          <t>Not Started</t>
        </is>
      </c>
      <c r="F73" s="12" t="n"/>
      <c r="G73" s="13">
        <f>IF(E73="Done","✓","")</f>
        <v/>
      </c>
      <c r="H73" s="9" t="n"/>
    </row>
    <row r="74" ht="21.75" customHeight="1" s="114">
      <c r="A74" s="30" t="n"/>
      <c r="B74" s="14" t="inlineStr">
        <is>
          <t>Security review</t>
        </is>
      </c>
      <c r="C74" s="15" t="inlineStr">
        <is>
          <t>Check for exposed secrets, SQL injection, XSS</t>
        </is>
      </c>
      <c r="D74" s="16" t="n">
        <v>2</v>
      </c>
      <c r="E74" s="23" t="inlineStr">
        <is>
          <t>Not Started</t>
        </is>
      </c>
      <c r="F74" s="18" t="n"/>
      <c r="G74" s="19">
        <f>IF(E74="Done","✓","")</f>
        <v/>
      </c>
      <c r="H74" s="15" t="n"/>
    </row>
    <row r="75" ht="7.5" customHeight="1" s="114">
      <c r="E75" s="20" t="n"/>
    </row>
    <row r="76" ht="25.5" customHeight="1" s="114">
      <c r="A76" s="122" t="inlineStr">
        <is>
          <t xml:space="preserve">  Phase 6 — Production Deployment</t>
        </is>
      </c>
    </row>
    <row r="77" ht="21.75" customHeight="1" s="114">
      <c r="A77" s="32" t="n"/>
      <c r="B77" s="8" t="inlineStr">
        <is>
          <t>Deploy Next.js to Vercel</t>
        </is>
      </c>
      <c r="C77" s="9" t="inlineStr">
        <is>
          <t>Connect GitHub repo, set env vars, deploy</t>
        </is>
      </c>
      <c r="D77" s="10" t="n">
        <v>1</v>
      </c>
      <c r="E77" s="24" t="inlineStr">
        <is>
          <t>Not Started</t>
        </is>
      </c>
      <c r="F77" s="12" t="n"/>
      <c r="G77" s="13">
        <f>IF(E77="Done","✓","")</f>
        <v/>
      </c>
      <c r="H77" s="9" t="n"/>
    </row>
    <row r="78" ht="21.75" customHeight="1" s="114">
      <c r="A78" s="32" t="n"/>
      <c r="B78" s="14" t="inlineStr">
        <is>
          <t>Deploy Express to Railway</t>
        </is>
      </c>
      <c r="C78" s="15" t="inlineStr">
        <is>
          <t>Dockerfile or buildpack, set env vars, test</t>
        </is>
      </c>
      <c r="D78" s="16" t="n">
        <v>1.5</v>
      </c>
      <c r="E78" s="23" t="inlineStr">
        <is>
          <t>Not Started</t>
        </is>
      </c>
      <c r="F78" s="18" t="n"/>
      <c r="G78" s="19">
        <f>IF(E78="Done","✓","")</f>
        <v/>
      </c>
      <c r="H78" s="15" t="n"/>
    </row>
    <row r="79" ht="21.75" customHeight="1" s="114">
      <c r="A79" s="32" t="n"/>
      <c r="B79" s="8" t="inlineStr">
        <is>
          <t>Setup Neon PostgreSQL prod DB</t>
        </is>
      </c>
      <c r="C79" s="9" t="inlineStr">
        <is>
          <t>Create prod DB, run migrations, seed data</t>
        </is>
      </c>
      <c r="D79" s="10" t="n">
        <v>1</v>
      </c>
      <c r="E79" s="24" t="inlineStr">
        <is>
          <t>Not Started</t>
        </is>
      </c>
      <c r="F79" s="12" t="n"/>
      <c r="G79" s="13">
        <f>IF(E79="Done","✓","")</f>
        <v/>
      </c>
      <c r="H79" s="9" t="n"/>
    </row>
    <row r="80" ht="21.75" customHeight="1" s="114">
      <c r="A80" s="32" t="n"/>
      <c r="B80" s="14" t="inlineStr">
        <is>
          <t>Setup Upstash Redis prod</t>
        </is>
      </c>
      <c r="C80" s="15" t="inlineStr">
        <is>
          <t>Create Redis instance, connect to Express</t>
        </is>
      </c>
      <c r="D80" s="16" t="n">
        <v>0.5</v>
      </c>
      <c r="E80" s="23" t="inlineStr">
        <is>
          <t>Not Started</t>
        </is>
      </c>
      <c r="F80" s="18" t="n"/>
      <c r="G80" s="19">
        <f>IF(E80="Done","✓","")</f>
        <v/>
      </c>
      <c r="H80" s="15" t="n"/>
    </row>
    <row r="81" ht="21.75" customHeight="1" s="114">
      <c r="A81" s="32" t="n"/>
      <c r="B81" s="8" t="inlineStr">
        <is>
          <t>Deploy FastAPI to RunPod Serverless</t>
        </is>
      </c>
      <c r="C81" s="9" t="inlineStr">
        <is>
          <t>Push Docker image, configure GPU endpoint</t>
        </is>
      </c>
      <c r="D81" s="10" t="n">
        <v>2</v>
      </c>
      <c r="E81" s="24" t="inlineStr">
        <is>
          <t>Not Started</t>
        </is>
      </c>
      <c r="F81" s="12" t="n"/>
      <c r="G81" s="13">
        <f>IF(E81="Done","✓","")</f>
        <v/>
      </c>
      <c r="H81" s="9" t="n"/>
    </row>
    <row r="82" ht="21.75" customHeight="1" s="114">
      <c r="A82" s="32" t="n"/>
      <c r="B82" s="14" t="inlineStr">
        <is>
          <t>Configure RunPod auto-scaling</t>
        </is>
      </c>
      <c r="C82" s="15" t="inlineStr">
        <is>
          <t>Set min/max workers, idle timeout settings</t>
        </is>
      </c>
      <c r="D82" s="16" t="n">
        <v>1</v>
      </c>
      <c r="E82" s="23" t="inlineStr">
        <is>
          <t>Not Started</t>
        </is>
      </c>
      <c r="F82" s="18" t="n"/>
      <c r="G82" s="19">
        <f>IF(E82="Done","✓","")</f>
        <v/>
      </c>
      <c r="H82" s="15" t="n"/>
    </row>
    <row r="83" ht="21.75" customHeight="1" s="114">
      <c r="A83" s="32" t="n"/>
      <c r="B83" s="8" t="inlineStr">
        <is>
          <t>Update all env vars for production</t>
        </is>
      </c>
      <c r="C83" s="9" t="inlineStr">
        <is>
          <t>API URLs, secrets, Razorpay live keys</t>
        </is>
      </c>
      <c r="D83" s="10" t="n">
        <v>1</v>
      </c>
      <c r="E83" s="24" t="inlineStr">
        <is>
          <t>Not Started</t>
        </is>
      </c>
      <c r="F83" s="12" t="n"/>
      <c r="G83" s="13">
        <f>IF(E83="Done","✓","")</f>
        <v/>
      </c>
      <c r="H83" s="9" t="n"/>
    </row>
    <row r="84" ht="21.75" customHeight="1" s="114">
      <c r="A84" s="32" t="n"/>
      <c r="B84" s="14" t="inlineStr">
        <is>
          <t>Setup custom domain</t>
        </is>
      </c>
      <c r="C84" s="15" t="inlineStr">
        <is>
          <t>Point domain to Vercel, SSL auto-configured</t>
        </is>
      </c>
      <c r="D84" s="16" t="n">
        <v>1</v>
      </c>
      <c r="E84" s="23" t="inlineStr">
        <is>
          <t>Not Started</t>
        </is>
      </c>
      <c r="F84" s="18" t="n"/>
      <c r="G84" s="19">
        <f>IF(E84="Done","✓","")</f>
        <v/>
      </c>
      <c r="H84" s="15" t="n"/>
    </row>
    <row r="85" ht="21.75" customHeight="1" s="114">
      <c r="A85" s="32" t="n"/>
      <c r="B85" s="8" t="inlineStr">
        <is>
          <t>Final production smoke test</t>
        </is>
      </c>
      <c r="C85" s="9" t="inlineStr">
        <is>
          <t>Full flow on live URL with real Razorpay</t>
        </is>
      </c>
      <c r="D85" s="10" t="n">
        <v>1.5</v>
      </c>
      <c r="E85" s="24" t="inlineStr">
        <is>
          <t>Not Started</t>
        </is>
      </c>
      <c r="F85" s="12" t="n"/>
      <c r="G85" s="13">
        <f>IF(E85="Done","✓","")</f>
        <v/>
      </c>
      <c r="H85" s="9" t="n"/>
    </row>
    <row r="86" ht="21.75" customHeight="1" s="114">
      <c r="A86" s="32" t="n"/>
      <c r="B86" s="14" t="inlineStr">
        <is>
          <t>Setup error monitoring (Sentry)</t>
        </is>
      </c>
      <c r="C86" s="15" t="inlineStr">
        <is>
          <t>Catch prod errors in Express + Next.js</t>
        </is>
      </c>
      <c r="D86" s="16" t="n">
        <v>1.5</v>
      </c>
      <c r="E86" s="23" t="inlineStr">
        <is>
          <t>Not Started</t>
        </is>
      </c>
      <c r="F86" s="18" t="n"/>
      <c r="G86" s="19">
        <f>IF(E86="Done","✓","")</f>
        <v/>
      </c>
      <c r="H86" s="15" t="n"/>
    </row>
    <row r="87" ht="21.75" customHeight="1" s="114">
      <c r="A87" s="32" t="n"/>
      <c r="B87" s="8" t="inlineStr">
        <is>
          <t>Go live — share with first users</t>
        </is>
      </c>
      <c r="C87" s="9" t="inlineStr">
        <is>
          <t>Post in communities, get first feedback</t>
        </is>
      </c>
      <c r="D87" s="10" t="n">
        <v>1</v>
      </c>
      <c r="E87" s="24" t="inlineStr">
        <is>
          <t>Not Started</t>
        </is>
      </c>
      <c r="F87" s="12" t="n"/>
      <c r="G87" s="13">
        <f>IF(E87="Done","✓","")</f>
        <v/>
      </c>
      <c r="H87" s="9" t="n"/>
    </row>
    <row r="88" ht="7.5" customHeight="1" s="114">
      <c r="E88" s="20" t="n"/>
    </row>
    <row r="89" ht="15.75" customHeight="1" s="114">
      <c r="E89" s="20" t="n"/>
    </row>
    <row r="90" ht="15.75" customHeight="1" s="114">
      <c r="E90" s="20" t="n"/>
    </row>
    <row r="91" ht="15.75" customHeight="1" s="114">
      <c r="E91" s="20" t="n"/>
    </row>
    <row r="92" ht="15.75" customHeight="1" s="114">
      <c r="E92" s="20" t="n"/>
    </row>
    <row r="93" ht="15.75" customHeight="1" s="114">
      <c r="E93" s="20" t="n"/>
    </row>
    <row r="94" ht="15.75" customHeight="1" s="114">
      <c r="E94" s="20" t="n"/>
    </row>
    <row r="95" ht="15.75" customHeight="1" s="114">
      <c r="E95" s="20" t="n"/>
    </row>
    <row r="96" ht="15.75" customHeight="1" s="114">
      <c r="E96" s="20" t="n"/>
    </row>
    <row r="97" ht="15.75" customHeight="1" s="114">
      <c r="E97" s="20" t="n"/>
    </row>
    <row r="98" ht="15.75" customHeight="1" s="114">
      <c r="E98" s="20" t="n"/>
    </row>
    <row r="99" ht="15.75" customHeight="1" s="114">
      <c r="E99" s="20" t="n"/>
    </row>
    <row r="100" ht="15.75" customHeight="1" s="114">
      <c r="E100" s="20" t="n"/>
    </row>
    <row r="101" ht="15.75" customHeight="1" s="114">
      <c r="E101" s="20" t="n"/>
    </row>
    <row r="102" ht="15.75" customHeight="1" s="114">
      <c r="E102" s="20" t="n"/>
    </row>
    <row r="103" ht="15.75" customHeight="1" s="114">
      <c r="E103" s="20" t="n"/>
    </row>
    <row r="104" ht="15.75" customHeight="1" s="114">
      <c r="E104" s="20" t="n"/>
    </row>
    <row r="105" ht="15.75" customHeight="1" s="114">
      <c r="E105" s="20" t="n"/>
    </row>
    <row r="106" ht="15.75" customHeight="1" s="114">
      <c r="E106" s="20" t="n"/>
    </row>
    <row r="107" ht="15.75" customHeight="1" s="114">
      <c r="E107" s="20" t="n"/>
    </row>
    <row r="108" ht="15.75" customHeight="1" s="114">
      <c r="E108" s="20" t="n"/>
    </row>
    <row r="109" ht="15.75" customHeight="1" s="114">
      <c r="E109" s="20" t="n"/>
    </row>
    <row r="110" ht="15.75" customHeight="1" s="114">
      <c r="E110" s="20" t="n"/>
    </row>
    <row r="111" ht="15.75" customHeight="1" s="114">
      <c r="E111" s="20" t="n"/>
    </row>
    <row r="112" ht="15.75" customHeight="1" s="114">
      <c r="E112" s="20" t="n"/>
    </row>
    <row r="113" ht="15.75" customHeight="1" s="114">
      <c r="E113" s="20" t="n"/>
    </row>
    <row r="114" ht="15.75" customHeight="1" s="114">
      <c r="E114" s="20" t="n"/>
    </row>
    <row r="115" ht="15.75" customHeight="1" s="114">
      <c r="E115" s="20" t="n"/>
    </row>
    <row r="116" ht="15.75" customHeight="1" s="114">
      <c r="E116" s="20" t="n"/>
    </row>
    <row r="117" ht="15.75" customHeight="1" s="114">
      <c r="E117" s="20" t="n"/>
    </row>
    <row r="118" ht="15.75" customHeight="1" s="114">
      <c r="E118" s="20" t="n"/>
    </row>
    <row r="119" ht="15.75" customHeight="1" s="114">
      <c r="E119" s="20" t="n"/>
    </row>
    <row r="120" ht="15.75" customHeight="1" s="114">
      <c r="E120" s="20" t="n"/>
    </row>
    <row r="121" ht="15.75" customHeight="1" s="114">
      <c r="E121" s="20" t="n"/>
    </row>
    <row r="122" ht="15.75" customHeight="1" s="114">
      <c r="E122" s="20" t="n"/>
    </row>
    <row r="123" ht="15.75" customHeight="1" s="114">
      <c r="E123" s="20" t="n"/>
    </row>
    <row r="124" ht="15.75" customHeight="1" s="114">
      <c r="E124" s="20" t="n"/>
    </row>
    <row r="125" ht="15.75" customHeight="1" s="114">
      <c r="E125" s="20" t="n"/>
    </row>
    <row r="126" ht="15.75" customHeight="1" s="114">
      <c r="E126" s="20" t="n"/>
    </row>
    <row r="127" ht="15.75" customHeight="1" s="114">
      <c r="E127" s="20" t="n"/>
    </row>
    <row r="128" ht="15.75" customHeight="1" s="114">
      <c r="E128" s="20" t="n"/>
    </row>
    <row r="129" ht="15.75" customHeight="1" s="114">
      <c r="E129" s="20" t="n"/>
    </row>
    <row r="130" ht="15.75" customHeight="1" s="114">
      <c r="E130" s="20" t="n"/>
    </row>
    <row r="131" ht="15.75" customHeight="1" s="114">
      <c r="E131" s="20" t="n"/>
    </row>
    <row r="132" ht="15.75" customHeight="1" s="114">
      <c r="E132" s="20" t="n"/>
    </row>
    <row r="133" ht="15.75" customHeight="1" s="114">
      <c r="E133" s="20" t="n"/>
    </row>
    <row r="134" ht="15.75" customHeight="1" s="114">
      <c r="E134" s="20" t="n"/>
    </row>
    <row r="135" ht="15.75" customHeight="1" s="114">
      <c r="E135" s="20" t="n"/>
    </row>
    <row r="136" ht="15.75" customHeight="1" s="114">
      <c r="E136" s="20" t="n"/>
    </row>
    <row r="137" ht="15.75" customHeight="1" s="114">
      <c r="E137" s="20" t="n"/>
    </row>
    <row r="138" ht="15.75" customHeight="1" s="114">
      <c r="E138" s="20" t="n"/>
    </row>
    <row r="139" ht="15.75" customHeight="1" s="114">
      <c r="E139" s="20" t="n"/>
    </row>
    <row r="140" ht="15.75" customHeight="1" s="114">
      <c r="E140" s="20" t="n"/>
    </row>
    <row r="141" ht="15.75" customHeight="1" s="114">
      <c r="E141" s="20" t="n"/>
    </row>
    <row r="142" ht="15.75" customHeight="1" s="114">
      <c r="E142" s="20" t="n"/>
    </row>
    <row r="143" ht="15.75" customHeight="1" s="114">
      <c r="E143" s="20" t="n"/>
    </row>
    <row r="144" ht="15.75" customHeight="1" s="114">
      <c r="E144" s="20" t="n"/>
    </row>
    <row r="145" ht="15.75" customHeight="1" s="114">
      <c r="E145" s="20" t="n"/>
    </row>
    <row r="146" ht="15.75" customHeight="1" s="114">
      <c r="E146" s="20" t="n"/>
    </row>
    <row r="147" ht="15.75" customHeight="1" s="114">
      <c r="E147" s="20" t="n"/>
    </row>
    <row r="148" ht="15.75" customHeight="1" s="114">
      <c r="E148" s="20" t="n"/>
    </row>
    <row r="149" ht="15.75" customHeight="1" s="114">
      <c r="E149" s="20" t="n"/>
    </row>
    <row r="150" ht="15.75" customHeight="1" s="114">
      <c r="E150" s="20" t="n"/>
    </row>
    <row r="151" ht="15.75" customHeight="1" s="114">
      <c r="E151" s="20" t="n"/>
    </row>
    <row r="152" ht="15.75" customHeight="1" s="114">
      <c r="E152" s="20" t="n"/>
    </row>
    <row r="153" ht="15.75" customHeight="1" s="114">
      <c r="E153" s="20" t="n"/>
    </row>
    <row r="154" ht="15.75" customHeight="1" s="114">
      <c r="E154" s="20" t="n"/>
    </row>
    <row r="155" ht="15.75" customHeight="1" s="114">
      <c r="E155" s="20" t="n"/>
    </row>
    <row r="156" ht="15.75" customHeight="1" s="114">
      <c r="E156" s="20" t="n"/>
    </row>
    <row r="157" ht="15.75" customHeight="1" s="114">
      <c r="E157" s="20" t="n"/>
    </row>
    <row r="158" ht="15.75" customHeight="1" s="114">
      <c r="E158" s="20" t="n"/>
    </row>
    <row r="159" ht="15.75" customHeight="1" s="114">
      <c r="E159" s="20" t="n"/>
    </row>
    <row r="160" ht="15.75" customHeight="1" s="114">
      <c r="E160" s="20" t="n"/>
    </row>
    <row r="161" ht="15.75" customHeight="1" s="114">
      <c r="E161" s="20" t="n"/>
    </row>
    <row r="162" ht="15.75" customHeight="1" s="114">
      <c r="E162" s="20" t="n"/>
    </row>
    <row r="163" ht="15.75" customHeight="1" s="114">
      <c r="E163" s="20" t="n"/>
    </row>
    <row r="164" ht="15.75" customHeight="1" s="114">
      <c r="E164" s="20" t="n"/>
    </row>
    <row r="165" ht="15.75" customHeight="1" s="114">
      <c r="E165" s="20" t="n"/>
    </row>
    <row r="166" ht="15.75" customHeight="1" s="114">
      <c r="E166" s="20" t="n"/>
    </row>
    <row r="167" ht="15.75" customHeight="1" s="114">
      <c r="E167" s="20" t="n"/>
    </row>
    <row r="168" ht="15.75" customHeight="1" s="114">
      <c r="E168" s="20" t="n"/>
    </row>
    <row r="169" ht="15.75" customHeight="1" s="114">
      <c r="E169" s="20" t="n"/>
    </row>
    <row r="170" ht="15.75" customHeight="1" s="114">
      <c r="E170" s="20" t="n"/>
    </row>
    <row r="171" ht="15.75" customHeight="1" s="114">
      <c r="E171" s="20" t="n"/>
    </row>
    <row r="172" ht="15.75" customHeight="1" s="114">
      <c r="E172" s="20" t="n"/>
    </row>
    <row r="173" ht="15.75" customHeight="1" s="114">
      <c r="E173" s="20" t="n"/>
    </row>
    <row r="174" ht="15.75" customHeight="1" s="114">
      <c r="E174" s="20" t="n"/>
    </row>
    <row r="175" ht="15.75" customHeight="1" s="114">
      <c r="E175" s="20" t="n"/>
    </row>
    <row r="176" ht="15.75" customHeight="1" s="114">
      <c r="E176" s="20" t="n"/>
    </row>
    <row r="177" ht="15.75" customHeight="1" s="114">
      <c r="E177" s="20" t="n"/>
    </row>
    <row r="178" ht="15.75" customHeight="1" s="114">
      <c r="E178" s="20" t="n"/>
    </row>
    <row r="179" ht="15.75" customHeight="1" s="114">
      <c r="E179" s="20" t="n"/>
    </row>
    <row r="180" ht="15.75" customHeight="1" s="114">
      <c r="E180" s="20" t="n"/>
    </row>
    <row r="181" ht="15.75" customHeight="1" s="114">
      <c r="E181" s="20" t="n"/>
    </row>
    <row r="182" ht="15.75" customHeight="1" s="114">
      <c r="E182" s="20" t="n"/>
    </row>
    <row r="183" ht="15.75" customHeight="1" s="114">
      <c r="E183" s="20" t="n"/>
    </row>
    <row r="184" ht="15.75" customHeight="1" s="114">
      <c r="E184" s="20" t="n"/>
    </row>
    <row r="185" ht="15.75" customHeight="1" s="114">
      <c r="E185" s="20" t="n"/>
    </row>
    <row r="186" ht="15.75" customHeight="1" s="114">
      <c r="E186" s="20" t="n"/>
    </row>
    <row r="187" ht="15.75" customHeight="1" s="114">
      <c r="E187" s="20" t="n"/>
    </row>
    <row r="188" ht="15.75" customHeight="1" s="114">
      <c r="E188" s="20" t="n"/>
    </row>
    <row r="189" ht="15.75" customHeight="1" s="114">
      <c r="E189" s="20" t="n"/>
    </row>
    <row r="190" ht="15.75" customHeight="1" s="114">
      <c r="E190" s="20" t="n"/>
    </row>
    <row r="191" ht="15.75" customHeight="1" s="114">
      <c r="E191" s="20" t="n"/>
    </row>
    <row r="192" ht="15.75" customHeight="1" s="114">
      <c r="E192" s="20" t="n"/>
    </row>
    <row r="193" ht="15.75" customHeight="1" s="114">
      <c r="E193" s="20" t="n"/>
    </row>
    <row r="194" ht="15.75" customHeight="1" s="114">
      <c r="E194" s="20" t="n"/>
    </row>
    <row r="195" ht="15.75" customHeight="1" s="114">
      <c r="E195" s="20" t="n"/>
    </row>
    <row r="196" ht="15.75" customHeight="1" s="114">
      <c r="E196" s="20" t="n"/>
    </row>
    <row r="197" ht="15.75" customHeight="1" s="114">
      <c r="E197" s="20" t="n"/>
    </row>
    <row r="198" ht="15.75" customHeight="1" s="114">
      <c r="E198" s="20" t="n"/>
    </row>
    <row r="199" ht="15.75" customHeight="1" s="114">
      <c r="E199" s="20" t="n"/>
    </row>
    <row r="200" ht="15.75" customHeight="1" s="114">
      <c r="E200" s="20" t="n"/>
    </row>
    <row r="201" ht="15.75" customHeight="1" s="114"/>
    <row r="202" ht="15.75" customHeight="1" s="114"/>
    <row r="203" ht="15.75" customHeight="1" s="114"/>
    <row r="204" ht="15.75" customHeight="1" s="114"/>
    <row r="205" ht="15.75" customHeight="1" s="114"/>
    <row r="206" ht="15.75" customHeight="1" s="114"/>
    <row r="207" ht="15.75" customHeight="1" s="114"/>
    <row r="208" ht="15.75" customHeight="1" s="114"/>
    <row r="209" ht="15.75" customHeight="1" s="114"/>
    <row r="210" ht="15.75" customHeight="1" s="114"/>
    <row r="211" ht="15.75" customHeight="1" s="114"/>
    <row r="212" ht="15.75" customHeight="1" s="114"/>
    <row r="213" ht="15.75" customHeight="1" s="114"/>
    <row r="214" ht="15.75" customHeight="1" s="114"/>
    <row r="215" ht="15.75" customHeight="1" s="114"/>
    <row r="216" ht="15.75" customHeight="1" s="114"/>
    <row r="217" ht="15.75" customHeight="1" s="114"/>
    <row r="218" ht="15.75" customHeight="1" s="114"/>
    <row r="219" ht="15.75" customHeight="1" s="114"/>
    <row r="220" ht="15.75" customHeight="1" s="114"/>
    <row r="221" ht="15.75" customHeight="1" s="114"/>
    <row r="222" ht="15.75" customHeight="1" s="114"/>
    <row r="223" ht="15.75" customHeight="1" s="114"/>
    <row r="224" ht="15.75" customHeight="1" s="114"/>
    <row r="225" ht="15.75" customHeight="1" s="114"/>
    <row r="226" ht="15.75" customHeight="1" s="114"/>
    <row r="227" ht="15.75" customHeight="1" s="114"/>
    <row r="228" ht="15.75" customHeight="1" s="114"/>
    <row r="229" ht="15.75" customHeight="1" s="114"/>
    <row r="230" ht="15.75" customHeight="1" s="114"/>
    <row r="231" ht="15.75" customHeight="1" s="114"/>
    <row r="232" ht="15.75" customHeight="1" s="114"/>
    <row r="233" ht="15.75" customHeight="1" s="114"/>
    <row r="234" ht="15.75" customHeight="1" s="114"/>
    <row r="235" ht="15.75" customHeight="1" s="114"/>
    <row r="236" ht="15.75" customHeight="1" s="114"/>
    <row r="237" ht="15.75" customHeight="1" s="114"/>
    <row r="238" ht="15.75" customHeight="1" s="114"/>
    <row r="239" ht="15.75" customHeight="1" s="114"/>
    <row r="240" ht="15.75" customHeight="1" s="114"/>
    <row r="241" ht="15.75" customHeight="1" s="114"/>
    <row r="242" ht="15.75" customHeight="1" s="114"/>
    <row r="243" ht="15.75" customHeight="1" s="114"/>
    <row r="244" ht="15.75" customHeight="1" s="114"/>
    <row r="245" ht="15.75" customHeight="1" s="114"/>
    <row r="246" ht="15.75" customHeight="1" s="114"/>
    <row r="247" ht="15.75" customHeight="1" s="114"/>
    <row r="248" ht="15.75" customHeight="1" s="114"/>
    <row r="249" ht="15.75" customHeight="1" s="114"/>
    <row r="250" ht="15.75" customHeight="1" s="114"/>
    <row r="251" ht="15.75" customHeight="1" s="114"/>
    <row r="252" ht="15.75" customHeight="1" s="114"/>
    <row r="253" ht="15.75" customHeight="1" s="114"/>
    <row r="254" ht="15.75" customHeight="1" s="114"/>
    <row r="255" ht="15.75" customHeight="1" s="114"/>
    <row r="256" ht="15.75" customHeight="1" s="114"/>
    <row r="257" ht="15.75" customHeight="1" s="114"/>
    <row r="258" ht="15.75" customHeight="1" s="114"/>
    <row r="259" ht="15.75" customHeight="1" s="114"/>
    <row r="260" ht="15.75" customHeight="1" s="114"/>
    <row r="261" ht="15.75" customHeight="1" s="114"/>
    <row r="262" ht="15.75" customHeight="1" s="114"/>
    <row r="263" ht="15.75" customHeight="1" s="114"/>
    <row r="264" ht="15.75" customHeight="1" s="114"/>
    <row r="265" ht="15.75" customHeight="1" s="114"/>
    <row r="266" ht="15.75" customHeight="1" s="114"/>
    <row r="267" ht="15.75" customHeight="1" s="114"/>
    <row r="268" ht="15.75" customHeight="1" s="114"/>
    <row r="269" ht="15.75" customHeight="1" s="114"/>
    <row r="270" ht="15.75" customHeight="1" s="114"/>
    <row r="271" ht="15.75" customHeight="1" s="114"/>
    <row r="272" ht="15.75" customHeight="1" s="114"/>
    <row r="273" ht="15.75" customHeight="1" s="114"/>
    <row r="274" ht="15.75" customHeight="1" s="114"/>
    <row r="275" ht="15.75" customHeight="1" s="114"/>
    <row r="276" ht="15.75" customHeight="1" s="114"/>
    <row r="277" ht="15.75" customHeight="1" s="114"/>
    <row r="278" ht="15.75" customHeight="1" s="114"/>
    <row r="279" ht="15.75" customHeight="1" s="114"/>
    <row r="280" ht="15.75" customHeight="1" s="114"/>
    <row r="281" ht="15.75" customHeight="1" s="114"/>
    <row r="282" ht="15.75" customHeight="1" s="114"/>
    <row r="283" ht="15.75" customHeight="1" s="114"/>
    <row r="284" ht="15.75" customHeight="1" s="114"/>
    <row r="285" ht="15.75" customHeight="1" s="114"/>
    <row r="286" ht="15.75" customHeight="1" s="114"/>
    <row r="287" ht="15.75" customHeight="1" s="114"/>
    <row r="288" ht="15.75" customHeight="1" s="114"/>
    <row r="289" ht="15.75" customHeight="1" s="114"/>
    <row r="290" ht="15.75" customHeight="1" s="114"/>
    <row r="291" ht="15.75" customHeight="1" s="114"/>
    <row r="292" ht="15.75" customHeight="1" s="114"/>
    <row r="293" ht="15.75" customHeight="1" s="114"/>
    <row r="294" ht="15.75" customHeight="1" s="114"/>
    <row r="295" ht="15.75" customHeight="1" s="114"/>
    <row r="296" ht="15.75" customHeight="1" s="114"/>
    <row r="297" ht="15.75" customHeight="1" s="114"/>
    <row r="298" ht="15.75" customHeight="1" s="114"/>
    <row r="299" ht="15.75" customHeight="1" s="114"/>
    <row r="300" ht="15.75" customHeight="1" s="114"/>
    <row r="301" ht="15.75" customHeight="1" s="114"/>
    <row r="302" ht="15.75" customHeight="1" s="114"/>
    <row r="303" ht="15.75" customHeight="1" s="114"/>
    <row r="304" ht="15.75" customHeight="1" s="114"/>
    <row r="305" ht="15.75" customHeight="1" s="114"/>
    <row r="306" ht="15.75" customHeight="1" s="114"/>
    <row r="307" ht="15.75" customHeight="1" s="114"/>
    <row r="308" ht="15.75" customHeight="1" s="114"/>
    <row r="309" ht="15.75" customHeight="1" s="114"/>
    <row r="310" ht="15.75" customHeight="1" s="114"/>
    <row r="311" ht="15.75" customHeight="1" s="114"/>
    <row r="312" ht="15.75" customHeight="1" s="114"/>
    <row r="313" ht="15.75" customHeight="1" s="114"/>
    <row r="314" ht="15.75" customHeight="1" s="114"/>
    <row r="315" ht="15.75" customHeight="1" s="114"/>
    <row r="316" ht="15.75" customHeight="1" s="114"/>
    <row r="317" ht="15.75" customHeight="1" s="114"/>
    <row r="318" ht="15.75" customHeight="1" s="114"/>
    <row r="319" ht="15.75" customHeight="1" s="114"/>
    <row r="320" ht="15.75" customHeight="1" s="114"/>
    <row r="321" ht="15.75" customHeight="1" s="114"/>
    <row r="322" ht="15.75" customHeight="1" s="114"/>
    <row r="323" ht="15.75" customHeight="1" s="114"/>
    <row r="324" ht="15.75" customHeight="1" s="114"/>
    <row r="325" ht="15.75" customHeight="1" s="114"/>
    <row r="326" ht="15.75" customHeight="1" s="114"/>
    <row r="327" ht="15.75" customHeight="1" s="114"/>
    <row r="328" ht="15.75" customHeight="1" s="114"/>
    <row r="329" ht="15.75" customHeight="1" s="114"/>
    <row r="330" ht="15.75" customHeight="1" s="114"/>
    <row r="331" ht="15.75" customHeight="1" s="114"/>
    <row r="332" ht="15.75" customHeight="1" s="114"/>
    <row r="333" ht="15.75" customHeight="1" s="114"/>
    <row r="334" ht="15.75" customHeight="1" s="114"/>
    <row r="335" ht="15.75" customHeight="1" s="114"/>
    <row r="336" ht="15.75" customHeight="1" s="114"/>
    <row r="337" ht="15.75" customHeight="1" s="114"/>
    <row r="338" ht="15.75" customHeight="1" s="114"/>
    <row r="339" ht="15.75" customHeight="1" s="114"/>
    <row r="340" ht="15.75" customHeight="1" s="114"/>
    <row r="341" ht="15.75" customHeight="1" s="114"/>
    <row r="342" ht="15.75" customHeight="1" s="114"/>
    <row r="343" ht="15.75" customHeight="1" s="114"/>
    <row r="344" ht="15.75" customHeight="1" s="114"/>
    <row r="345" ht="15.75" customHeight="1" s="114"/>
    <row r="346" ht="15.75" customHeight="1" s="114"/>
    <row r="347" ht="15.75" customHeight="1" s="114"/>
    <row r="348" ht="15.75" customHeight="1" s="114"/>
    <row r="349" ht="15.75" customHeight="1" s="114"/>
    <row r="350" ht="15.75" customHeight="1" s="114"/>
    <row r="351" ht="15.75" customHeight="1" s="114"/>
    <row r="352" ht="15.75" customHeight="1" s="114"/>
    <row r="353" ht="15.75" customHeight="1" s="114"/>
    <row r="354" ht="15.75" customHeight="1" s="114"/>
    <row r="355" ht="15.75" customHeight="1" s="114"/>
    <row r="356" ht="15.75" customHeight="1" s="114"/>
    <row r="357" ht="15.75" customHeight="1" s="114"/>
    <row r="358" ht="15.75" customHeight="1" s="114"/>
    <row r="359" ht="15.75" customHeight="1" s="114"/>
    <row r="360" ht="15.75" customHeight="1" s="114"/>
    <row r="361" ht="15.75" customHeight="1" s="114"/>
    <row r="362" ht="15.75" customHeight="1" s="114"/>
    <row r="363" ht="15.75" customHeight="1" s="114"/>
    <row r="364" ht="15.75" customHeight="1" s="114"/>
    <row r="365" ht="15.75" customHeight="1" s="114"/>
    <row r="366" ht="15.75" customHeight="1" s="114"/>
    <row r="367" ht="15.75" customHeight="1" s="114"/>
    <row r="368" ht="15.75" customHeight="1" s="114"/>
    <row r="369" ht="15.75" customHeight="1" s="114"/>
    <row r="370" ht="15.75" customHeight="1" s="114"/>
    <row r="371" ht="15.75" customHeight="1" s="114"/>
    <row r="372" ht="15.75" customHeight="1" s="114"/>
    <row r="373" ht="15.75" customHeight="1" s="114"/>
    <row r="374" ht="15.75" customHeight="1" s="114"/>
    <row r="375" ht="15.75" customHeight="1" s="114"/>
    <row r="376" ht="15.75" customHeight="1" s="114"/>
    <row r="377" ht="15.75" customHeight="1" s="114"/>
    <row r="378" ht="15.75" customHeight="1" s="114"/>
    <row r="379" ht="15.75" customHeight="1" s="114"/>
    <row r="380" ht="15.75" customHeight="1" s="114"/>
    <row r="381" ht="15.75" customHeight="1" s="114"/>
    <row r="382" ht="15.75" customHeight="1" s="114"/>
    <row r="383" ht="15.75" customHeight="1" s="114"/>
    <row r="384" ht="15.75" customHeight="1" s="114"/>
    <row r="385" ht="15.75" customHeight="1" s="114"/>
    <row r="386" ht="15.75" customHeight="1" s="114"/>
    <row r="387" ht="15.75" customHeight="1" s="114"/>
    <row r="388" ht="15.75" customHeight="1" s="114"/>
    <row r="389" ht="15.75" customHeight="1" s="114"/>
    <row r="390" ht="15.75" customHeight="1" s="114"/>
    <row r="391" ht="15.75" customHeight="1" s="114"/>
    <row r="392" ht="15.75" customHeight="1" s="114"/>
    <row r="393" ht="15.75" customHeight="1" s="114"/>
    <row r="394" ht="15.75" customHeight="1" s="114"/>
    <row r="395" ht="15.75" customHeight="1" s="114"/>
    <row r="396" ht="15.75" customHeight="1" s="114"/>
    <row r="397" ht="15.75" customHeight="1" s="114"/>
    <row r="398" ht="15.75" customHeight="1" s="114"/>
    <row r="399" ht="15.75" customHeight="1" s="114"/>
    <row r="400" ht="15.75" customHeight="1" s="114"/>
    <row r="401" ht="15.75" customHeight="1" s="114"/>
    <row r="402" ht="15.75" customHeight="1" s="114"/>
    <row r="403" ht="15.75" customHeight="1" s="114"/>
    <row r="404" ht="15.75" customHeight="1" s="114"/>
    <row r="405" ht="15.75" customHeight="1" s="114"/>
    <row r="406" ht="15.75" customHeight="1" s="114"/>
    <row r="407" ht="15.75" customHeight="1" s="114"/>
    <row r="408" ht="15.75" customHeight="1" s="114"/>
    <row r="409" ht="15.75" customHeight="1" s="114"/>
    <row r="410" ht="15.75" customHeight="1" s="114"/>
    <row r="411" ht="15.75" customHeight="1" s="114"/>
    <row r="412" ht="15.75" customHeight="1" s="114"/>
    <row r="413" ht="15.75" customHeight="1" s="114"/>
    <row r="414" ht="15.75" customHeight="1" s="114"/>
    <row r="415" ht="15.75" customHeight="1" s="114"/>
    <row r="416" ht="15.75" customHeight="1" s="114"/>
    <row r="417" ht="15.75" customHeight="1" s="114"/>
    <row r="418" ht="15.75" customHeight="1" s="114"/>
    <row r="419" ht="15.75" customHeight="1" s="114"/>
    <row r="420" ht="15.75" customHeight="1" s="114"/>
    <row r="421" ht="15.75" customHeight="1" s="114"/>
    <row r="422" ht="15.75" customHeight="1" s="114"/>
    <row r="423" ht="15.75" customHeight="1" s="114"/>
    <row r="424" ht="15.75" customHeight="1" s="114"/>
    <row r="425" ht="15.75" customHeight="1" s="114"/>
    <row r="426" ht="15.75" customHeight="1" s="114"/>
    <row r="427" ht="15.75" customHeight="1" s="114"/>
    <row r="428" ht="15.75" customHeight="1" s="114"/>
    <row r="429" ht="15.75" customHeight="1" s="114"/>
    <row r="430" ht="15.75" customHeight="1" s="114"/>
    <row r="431" ht="15.75" customHeight="1" s="114"/>
    <row r="432" ht="15.75" customHeight="1" s="114"/>
    <row r="433" ht="15.75" customHeight="1" s="114"/>
    <row r="434" ht="15.75" customHeight="1" s="114"/>
    <row r="435" ht="15.75" customHeight="1" s="114"/>
    <row r="436" ht="15.75" customHeight="1" s="114"/>
    <row r="437" ht="15.75" customHeight="1" s="114"/>
    <row r="438" ht="15.75" customHeight="1" s="114"/>
    <row r="439" ht="15.75" customHeight="1" s="114"/>
    <row r="440" ht="15.75" customHeight="1" s="114"/>
    <row r="441" ht="15.75" customHeight="1" s="114"/>
    <row r="442" ht="15.75" customHeight="1" s="114"/>
    <row r="443" ht="15.75" customHeight="1" s="114"/>
    <row r="444" ht="15.75" customHeight="1" s="114"/>
    <row r="445" ht="15.75" customHeight="1" s="114"/>
    <row r="446" ht="15.75" customHeight="1" s="114"/>
    <row r="447" ht="15.75" customHeight="1" s="114"/>
    <row r="448" ht="15.75" customHeight="1" s="114"/>
    <row r="449" ht="15.75" customHeight="1" s="114"/>
    <row r="450" ht="15.75" customHeight="1" s="114"/>
    <row r="451" ht="15.75" customHeight="1" s="114"/>
    <row r="452" ht="15.75" customHeight="1" s="114"/>
    <row r="453" ht="15.75" customHeight="1" s="114"/>
    <row r="454" ht="15.75" customHeight="1" s="114"/>
    <row r="455" ht="15.75" customHeight="1" s="114"/>
    <row r="456" ht="15.75" customHeight="1" s="114"/>
    <row r="457" ht="15.75" customHeight="1" s="114"/>
    <row r="458" ht="15.75" customHeight="1" s="114"/>
    <row r="459" ht="15.75" customHeight="1" s="114"/>
    <row r="460" ht="15.75" customHeight="1" s="114"/>
    <row r="461" ht="15.75" customHeight="1" s="114"/>
    <row r="462" ht="15.75" customHeight="1" s="114"/>
    <row r="463" ht="15.75" customHeight="1" s="114"/>
    <row r="464" ht="15.75" customHeight="1" s="114"/>
    <row r="465" ht="15.75" customHeight="1" s="114"/>
    <row r="466" ht="15.75" customHeight="1" s="114"/>
    <row r="467" ht="15.75" customHeight="1" s="114"/>
    <row r="468" ht="15.75" customHeight="1" s="114"/>
    <row r="469" ht="15.75" customHeight="1" s="114"/>
    <row r="470" ht="15.75" customHeight="1" s="114"/>
    <row r="471" ht="15.75" customHeight="1" s="114"/>
    <row r="472" ht="15.75" customHeight="1" s="114"/>
    <row r="473" ht="15.75" customHeight="1" s="114"/>
    <row r="474" ht="15.75" customHeight="1" s="114"/>
    <row r="475" ht="15.75" customHeight="1" s="114"/>
    <row r="476" ht="15.75" customHeight="1" s="114"/>
    <row r="477" ht="15.75" customHeight="1" s="114"/>
    <row r="478" ht="15.75" customHeight="1" s="114"/>
    <row r="479" ht="15.75" customHeight="1" s="114"/>
    <row r="480" ht="15.75" customHeight="1" s="114"/>
    <row r="481" ht="15.75" customHeight="1" s="114"/>
    <row r="482" ht="15.75" customHeight="1" s="114"/>
    <row r="483" ht="15.75" customHeight="1" s="114"/>
    <row r="484" ht="15.75" customHeight="1" s="114"/>
    <row r="485" ht="15.75" customHeight="1" s="114"/>
    <row r="486" ht="15.75" customHeight="1" s="114"/>
    <row r="487" ht="15.75" customHeight="1" s="114"/>
    <row r="488" ht="15.75" customHeight="1" s="114"/>
    <row r="489" ht="15.75" customHeight="1" s="114"/>
    <row r="490" ht="15.75" customHeight="1" s="114"/>
    <row r="491" ht="15.75" customHeight="1" s="114"/>
    <row r="492" ht="15.75" customHeight="1" s="114"/>
    <row r="493" ht="15.75" customHeight="1" s="114"/>
    <row r="494" ht="15.75" customHeight="1" s="114"/>
    <row r="495" ht="15.75" customHeight="1" s="114"/>
    <row r="496" ht="15.75" customHeight="1" s="114"/>
    <row r="497" ht="15.75" customHeight="1" s="114"/>
    <row r="498" ht="15.75" customHeight="1" s="114"/>
    <row r="499" ht="15.75" customHeight="1" s="114"/>
    <row r="500" ht="15.75" customHeight="1" s="114"/>
    <row r="501" ht="15.75" customHeight="1" s="114"/>
    <row r="502" ht="15.75" customHeight="1" s="114"/>
    <row r="503" ht="15.75" customHeight="1" s="114"/>
    <row r="504" ht="15.75" customHeight="1" s="114"/>
    <row r="505" ht="15.75" customHeight="1" s="114"/>
    <row r="506" ht="15.75" customHeight="1" s="114"/>
    <row r="507" ht="15.75" customHeight="1" s="114"/>
    <row r="508" ht="15.75" customHeight="1" s="114"/>
    <row r="509" ht="15.75" customHeight="1" s="114"/>
    <row r="510" ht="15.75" customHeight="1" s="114"/>
    <row r="511" ht="15.75" customHeight="1" s="114"/>
    <row r="512" ht="15.75" customHeight="1" s="114"/>
    <row r="513" ht="15.75" customHeight="1" s="114"/>
    <row r="514" ht="15.75" customHeight="1" s="114"/>
    <row r="515" ht="15.75" customHeight="1" s="114"/>
    <row r="516" ht="15.75" customHeight="1" s="114"/>
    <row r="517" ht="15.75" customHeight="1" s="114"/>
    <row r="518" ht="15.75" customHeight="1" s="114"/>
    <row r="519" ht="15.75" customHeight="1" s="114"/>
    <row r="520" ht="15.75" customHeight="1" s="114"/>
    <row r="521" ht="15.75" customHeight="1" s="114"/>
    <row r="522" ht="15.75" customHeight="1" s="114"/>
    <row r="523" ht="15.75" customHeight="1" s="114"/>
    <row r="524" ht="15.75" customHeight="1" s="114"/>
    <row r="525" ht="15.75" customHeight="1" s="114"/>
    <row r="526" ht="15.75" customHeight="1" s="114"/>
    <row r="527" ht="15.75" customHeight="1" s="114"/>
    <row r="528" ht="15.75" customHeight="1" s="114"/>
    <row r="529" ht="15.75" customHeight="1" s="114"/>
    <row r="530" ht="15.75" customHeight="1" s="114"/>
    <row r="531" ht="15.75" customHeight="1" s="114"/>
    <row r="532" ht="15.75" customHeight="1" s="114"/>
    <row r="533" ht="15.75" customHeight="1" s="114"/>
    <row r="534" ht="15.75" customHeight="1" s="114"/>
    <row r="535" ht="15.75" customHeight="1" s="114"/>
    <row r="536" ht="15.75" customHeight="1" s="114"/>
    <row r="537" ht="15.75" customHeight="1" s="114"/>
    <row r="538" ht="15.75" customHeight="1" s="114"/>
    <row r="539" ht="15.75" customHeight="1" s="114"/>
    <row r="540" ht="15.75" customHeight="1" s="114"/>
    <row r="541" ht="15.75" customHeight="1" s="114"/>
    <row r="542" ht="15.75" customHeight="1" s="114"/>
    <row r="543" ht="15.75" customHeight="1" s="114"/>
    <row r="544" ht="15.75" customHeight="1" s="114"/>
    <row r="545" ht="15.75" customHeight="1" s="114"/>
    <row r="546" ht="15.75" customHeight="1" s="114"/>
    <row r="547" ht="15.75" customHeight="1" s="114"/>
    <row r="548" ht="15.75" customHeight="1" s="114"/>
    <row r="549" ht="15.75" customHeight="1" s="114"/>
    <row r="550" ht="15.75" customHeight="1" s="114"/>
    <row r="551" ht="15.75" customHeight="1" s="114"/>
    <row r="552" ht="15.75" customHeight="1" s="114"/>
    <row r="553" ht="15.75" customHeight="1" s="114"/>
    <row r="554" ht="15.75" customHeight="1" s="114"/>
    <row r="555" ht="15.75" customHeight="1" s="114"/>
    <row r="556" ht="15.75" customHeight="1" s="114"/>
    <row r="557" ht="15.75" customHeight="1" s="114"/>
    <row r="558" ht="15.75" customHeight="1" s="114"/>
    <row r="559" ht="15.75" customHeight="1" s="114"/>
    <row r="560" ht="15.75" customHeight="1" s="114"/>
    <row r="561" ht="15.75" customHeight="1" s="114"/>
    <row r="562" ht="15.75" customHeight="1" s="114"/>
    <row r="563" ht="15.75" customHeight="1" s="114"/>
    <row r="564" ht="15.75" customHeight="1" s="114"/>
    <row r="565" ht="15.75" customHeight="1" s="114"/>
    <row r="566" ht="15.75" customHeight="1" s="114"/>
    <row r="567" ht="15.75" customHeight="1" s="114"/>
    <row r="568" ht="15.75" customHeight="1" s="114"/>
    <row r="569" ht="15.75" customHeight="1" s="114"/>
    <row r="570" ht="15.75" customHeight="1" s="114"/>
    <row r="571" ht="15.75" customHeight="1" s="114"/>
    <row r="572" ht="15.75" customHeight="1" s="114"/>
    <row r="573" ht="15.75" customHeight="1" s="114"/>
    <row r="574" ht="15.75" customHeight="1" s="114"/>
    <row r="575" ht="15.75" customHeight="1" s="114"/>
    <row r="576" ht="15.75" customHeight="1" s="114"/>
    <row r="577" ht="15.75" customHeight="1" s="114"/>
    <row r="578" ht="15.75" customHeight="1" s="114"/>
    <row r="579" ht="15.75" customHeight="1" s="114"/>
    <row r="580" ht="15.75" customHeight="1" s="114"/>
    <row r="581" ht="15.75" customHeight="1" s="114"/>
    <row r="582" ht="15.75" customHeight="1" s="114"/>
    <row r="583" ht="15.75" customHeight="1" s="114"/>
    <row r="584" ht="15.75" customHeight="1" s="114"/>
    <row r="585" ht="15.75" customHeight="1" s="114"/>
    <row r="586" ht="15.75" customHeight="1" s="114"/>
    <row r="587" ht="15.75" customHeight="1" s="114"/>
    <row r="588" ht="15.75" customHeight="1" s="114"/>
    <row r="589" ht="15.75" customHeight="1" s="114"/>
    <row r="590" ht="15.75" customHeight="1" s="114"/>
    <row r="591" ht="15.75" customHeight="1" s="114"/>
    <row r="592" ht="15.75" customHeight="1" s="114"/>
    <row r="593" ht="15.75" customHeight="1" s="114"/>
    <row r="594" ht="15.75" customHeight="1" s="114"/>
    <row r="595" ht="15.75" customHeight="1" s="114"/>
    <row r="596" ht="15.75" customHeight="1" s="114"/>
    <row r="597" ht="15.75" customHeight="1" s="114"/>
    <row r="598" ht="15.75" customHeight="1" s="114"/>
    <row r="599" ht="15.75" customHeight="1" s="114"/>
    <row r="600" ht="15.75" customHeight="1" s="114"/>
    <row r="601" ht="15.75" customHeight="1" s="114"/>
    <row r="602" ht="15.75" customHeight="1" s="114"/>
    <row r="603" ht="15.75" customHeight="1" s="114"/>
    <row r="604" ht="15.75" customHeight="1" s="114"/>
    <row r="605" ht="15.75" customHeight="1" s="114"/>
    <row r="606" ht="15.75" customHeight="1" s="114"/>
    <row r="607" ht="15.75" customHeight="1" s="114"/>
    <row r="608" ht="15.75" customHeight="1" s="114"/>
    <row r="609" ht="15.75" customHeight="1" s="114"/>
    <row r="610" ht="15.75" customHeight="1" s="114"/>
    <row r="611" ht="15.75" customHeight="1" s="114"/>
    <row r="612" ht="15.75" customHeight="1" s="114"/>
    <row r="613" ht="15.75" customHeight="1" s="114"/>
    <row r="614" ht="15.75" customHeight="1" s="114"/>
    <row r="615" ht="15.75" customHeight="1" s="114"/>
    <row r="616" ht="15.75" customHeight="1" s="114"/>
    <row r="617" ht="15.75" customHeight="1" s="114"/>
    <row r="618" ht="15.75" customHeight="1" s="114"/>
    <row r="619" ht="15.75" customHeight="1" s="114"/>
    <row r="620" ht="15.75" customHeight="1" s="114"/>
    <row r="621" ht="15.75" customHeight="1" s="114"/>
    <row r="622" ht="15.75" customHeight="1" s="114"/>
    <row r="623" ht="15.75" customHeight="1" s="114"/>
    <row r="624" ht="15.75" customHeight="1" s="114"/>
    <row r="625" ht="15.75" customHeight="1" s="114"/>
    <row r="626" ht="15.75" customHeight="1" s="114"/>
    <row r="627" ht="15.75" customHeight="1" s="114"/>
    <row r="628" ht="15.75" customHeight="1" s="114"/>
    <row r="629" ht="15.75" customHeight="1" s="114"/>
    <row r="630" ht="15.75" customHeight="1" s="114"/>
    <row r="631" ht="15.75" customHeight="1" s="114"/>
    <row r="632" ht="15.75" customHeight="1" s="114"/>
    <row r="633" ht="15.75" customHeight="1" s="114"/>
    <row r="634" ht="15.75" customHeight="1" s="114"/>
    <row r="635" ht="15.75" customHeight="1" s="114"/>
    <row r="636" ht="15.75" customHeight="1" s="114"/>
    <row r="637" ht="15.75" customHeight="1" s="114"/>
    <row r="638" ht="15.75" customHeight="1" s="114"/>
    <row r="639" ht="15.75" customHeight="1" s="114"/>
    <row r="640" ht="15.75" customHeight="1" s="114"/>
    <row r="641" ht="15.75" customHeight="1" s="114"/>
    <row r="642" ht="15.75" customHeight="1" s="114"/>
    <row r="643" ht="15.75" customHeight="1" s="114"/>
    <row r="644" ht="15.75" customHeight="1" s="114"/>
    <row r="645" ht="15.75" customHeight="1" s="114"/>
    <row r="646" ht="15.75" customHeight="1" s="114"/>
    <row r="647" ht="15.75" customHeight="1" s="114"/>
    <row r="648" ht="15.75" customHeight="1" s="114"/>
    <row r="649" ht="15.75" customHeight="1" s="114"/>
    <row r="650" ht="15.75" customHeight="1" s="114"/>
    <row r="651" ht="15.75" customHeight="1" s="114"/>
    <row r="652" ht="15.75" customHeight="1" s="114"/>
    <row r="653" ht="15.75" customHeight="1" s="114"/>
    <row r="654" ht="15.75" customHeight="1" s="114"/>
    <row r="655" ht="15.75" customHeight="1" s="114"/>
    <row r="656" ht="15.75" customHeight="1" s="114"/>
    <row r="657" ht="15.75" customHeight="1" s="114"/>
    <row r="658" ht="15.75" customHeight="1" s="114"/>
    <row r="659" ht="15.75" customHeight="1" s="114"/>
    <row r="660" ht="15.75" customHeight="1" s="114"/>
    <row r="661" ht="15.75" customHeight="1" s="114"/>
    <row r="662" ht="15.75" customHeight="1" s="114"/>
    <row r="663" ht="15.75" customHeight="1" s="114"/>
    <row r="664" ht="15.75" customHeight="1" s="114"/>
    <row r="665" ht="15.75" customHeight="1" s="114"/>
    <row r="666" ht="15.75" customHeight="1" s="114"/>
    <row r="667" ht="15.75" customHeight="1" s="114"/>
    <row r="668" ht="15.75" customHeight="1" s="114"/>
    <row r="669" ht="15.75" customHeight="1" s="114"/>
    <row r="670" ht="15.75" customHeight="1" s="114"/>
    <row r="671" ht="15.75" customHeight="1" s="114"/>
    <row r="672" ht="15.75" customHeight="1" s="114"/>
    <row r="673" ht="15.75" customHeight="1" s="114"/>
    <row r="674" ht="15.75" customHeight="1" s="114"/>
    <row r="675" ht="15.75" customHeight="1" s="114"/>
    <row r="676" ht="15.75" customHeight="1" s="114"/>
    <row r="677" ht="15.75" customHeight="1" s="114"/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mergeCells count="8">
    <mergeCell ref="A4:H4"/>
    <mergeCell ref="A53:H53"/>
    <mergeCell ref="A20:H20"/>
    <mergeCell ref="A2:H2"/>
    <mergeCell ref="A76:H76"/>
    <mergeCell ref="A66:H66"/>
    <mergeCell ref="A1:H1"/>
    <mergeCell ref="A37:H37"/>
  </mergeCells>
  <conditionalFormatting sqref="B4:H1000">
    <cfRule type="expression" priority="1" dxfId="0">
      <formula>$E4="Done"</formula>
    </cfRule>
    <cfRule type="expression" priority="2" dxfId="1">
      <formula>$E4="In Progress"</formula>
    </cfRule>
    <cfRule type="expression" priority="3" dxfId="2">
      <formula>$E4="Blocked"</formula>
    </cfRule>
  </conditionalFormatting>
  <dataValidations count="1">
    <dataValidation sqref="E5:E19 E21:E36 E38:E52 E54:E65 E67:E75 E77:E200" showDropDown="0" showInputMessage="0" showErrorMessage="0" allowBlank="1" type="list">
      <formula1>"Not Started,In Progress,Done,Blocked"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2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114" min="1" max="1"/>
    <col width="18" customWidth="1" style="114" min="2" max="7"/>
    <col width="2" customWidth="1" style="114" min="8" max="8"/>
    <col width="8.710000000000001" customWidth="1" style="114" min="9" max="26"/>
  </cols>
  <sheetData>
    <row r="1" ht="7.5" customHeight="1" s="114"/>
    <row r="2" ht="43.5" customHeight="1" s="114">
      <c r="A2" s="123" t="inlineStr">
        <is>
          <t>VoiceForge — Build Dashboard</t>
        </is>
      </c>
    </row>
    <row r="3" ht="19.5" customHeight="1" s="114">
      <c r="A3" s="116" t="inlineStr">
        <is>
          <t>Live progress tracker — update status on Roadmap sheet to refresh</t>
        </is>
      </c>
    </row>
    <row r="4" ht="19.5" customHeight="1" s="114"/>
    <row r="5" ht="18" customHeight="1" s="114">
      <c r="B5" s="124" t="inlineStr">
        <is>
          <t>TOTAL TASKS</t>
        </is>
      </c>
      <c r="D5" s="125" t="inlineStr">
        <is>
          <t>COMPLETED</t>
        </is>
      </c>
      <c r="F5" s="126" t="inlineStr">
        <is>
          <t>IN PROGRESS</t>
        </is>
      </c>
    </row>
    <row r="6" ht="31.5" customHeight="1" s="114">
      <c r="B6" s="127">
        <f>COUNTIF(Roadmap!E4:E89,"Done")+COUNTIF(Roadmap!E4:E89,"Not Started")+COUNTIF(Roadmap!E4:E89,"In Progress")+COUNTIF(Roadmap!E4:E89,"Blocked")</f>
        <v/>
      </c>
      <c r="D6" s="128">
        <f>COUNTIF(Roadmap!E4:E89,"Done")</f>
        <v/>
      </c>
      <c r="F6" s="129">
        <f>COUNTIF(Roadmap!E4:E89,"In Progress")</f>
        <v/>
      </c>
    </row>
    <row r="7" ht="15.75" customHeight="1" s="114">
      <c r="B7" s="130" t="inlineStr">
        <is>
          <t>tasks total</t>
        </is>
      </c>
      <c r="D7" s="131" t="inlineStr">
        <is>
          <t>tasks done ✓</t>
        </is>
      </c>
      <c r="F7" s="132" t="inlineStr">
        <is>
          <t>tasks active</t>
        </is>
      </c>
    </row>
    <row r="8" ht="19.5" customHeight="1" s="114"/>
    <row r="9" ht="18" customHeight="1" s="114">
      <c r="B9" s="133" t="inlineStr">
        <is>
          <t>EST. TOTAL HOURS</t>
        </is>
      </c>
      <c r="D9" s="134" t="inlineStr">
        <is>
          <t>HOURS LOGGED</t>
        </is>
      </c>
      <c r="F9" s="135" t="inlineStr">
        <is>
          <t>% COMPLETE</t>
        </is>
      </c>
    </row>
    <row r="10" ht="31.5" customHeight="1" s="114">
      <c r="B10" s="136">
        <f>SUM(Roadmap!D4:D89)</f>
        <v/>
      </c>
      <c r="D10" s="137">
        <f>SUM(Roadmap!F4:F89)</f>
        <v/>
      </c>
      <c r="F10" s="138">
        <f>IFERROR(COUNTIF(Roadmap!E4:E89,"Done")/(COUNTIF(Roadmap!E4:E89,"Done")+COUNTIF(Roadmap!E4:E89,"Not Started")+COUNTIF(Roadmap!E4:E89,"In Progress")+COUNTIF(Roadmap!E4:E89,"Blocked")),0)</f>
        <v/>
      </c>
    </row>
    <row r="11" ht="15.75" customHeight="1" s="114">
      <c r="B11" s="139" t="inlineStr">
        <is>
          <t>hours planned</t>
        </is>
      </c>
      <c r="D11" s="140" t="inlineStr">
        <is>
          <t>actual hours</t>
        </is>
      </c>
      <c r="F11" s="141" t="inlineStr">
        <is>
          <t>completion rate</t>
        </is>
      </c>
    </row>
    <row r="12" ht="7.5" customHeight="1" s="114"/>
    <row r="13" ht="24" customHeight="1" s="114">
      <c r="B13" s="142" t="inlineStr">
        <is>
          <t>Phase Progress</t>
        </is>
      </c>
    </row>
    <row r="14" ht="19.5" customHeight="1" s="114">
      <c r="B14" s="54" t="inlineStr">
        <is>
          <t>Phase</t>
        </is>
      </c>
      <c r="D14" s="54" t="inlineStr">
        <is>
          <t>Total</t>
        </is>
      </c>
      <c r="E14" s="54" t="inlineStr">
        <is>
          <t>Done</t>
        </is>
      </c>
      <c r="F14" s="54" t="inlineStr">
        <is>
          <t>Est Hrs</t>
        </is>
      </c>
      <c r="G14" s="54" t="inlineStr">
        <is>
          <t>Progress</t>
        </is>
      </c>
    </row>
    <row r="15" ht="21.75" customHeight="1" s="114">
      <c r="B15" s="143" t="inlineStr">
        <is>
          <t>Phase 1 — Local GPU Setup (Orpheus TTS)</t>
        </is>
      </c>
      <c r="D15" s="56" t="n">
        <v>14</v>
      </c>
      <c r="E15" s="57">
        <f>COUNTIF(Roadmap!E5:E18,"Done")</f>
        <v/>
      </c>
      <c r="F15" s="58">
        <f>SUM(Roadmap!D5:D18)</f>
        <v/>
      </c>
      <c r="G15" s="59">
        <f>IFERROR(COUNTIF(Roadmap!E5:E18,"Done")/14,0)</f>
        <v/>
      </c>
    </row>
    <row r="16" ht="21.75" customHeight="1" s="114">
      <c r="B16" s="144" t="inlineStr">
        <is>
          <t>Phase 2 — FastAPI Wrapper (Orpheus Bridge)</t>
        </is>
      </c>
      <c r="D16" s="56" t="n">
        <v>15</v>
      </c>
      <c r="E16" s="57">
        <f>COUNTIF(Roadmap!E21:E35,"Done")</f>
        <v/>
      </c>
      <c r="F16" s="58">
        <f>SUM(Roadmap!D21:D35)</f>
        <v/>
      </c>
      <c r="G16" s="61">
        <f>IFERROR(COUNTIF(Roadmap!E21:E35,"Done")/15,0)</f>
        <v/>
      </c>
    </row>
    <row r="17" ht="21.75" customHeight="1" s="114">
      <c r="B17" s="145" t="inlineStr">
        <is>
          <t>Phase 3 — Express Backend</t>
        </is>
      </c>
      <c r="D17" s="56" t="n">
        <v>14</v>
      </c>
      <c r="E17" s="57">
        <f>COUNTIF(Roadmap!E38:E51,"Done")</f>
        <v/>
      </c>
      <c r="F17" s="58">
        <f>SUM(Roadmap!D38:D51)</f>
        <v/>
      </c>
      <c r="G17" s="63">
        <f>IFERROR(COUNTIF(Roadmap!E38:E51,"Done")/14,0)</f>
        <v/>
      </c>
    </row>
    <row r="18" ht="21.75" customHeight="1" s="114">
      <c r="B18" s="146" t="inlineStr">
        <is>
          <t>Phase 4 — Next.js Frontend</t>
        </is>
      </c>
      <c r="D18" s="56" t="n">
        <v>11</v>
      </c>
      <c r="E18" s="57">
        <f>COUNTIF(Roadmap!E54:E64,"Done")</f>
        <v/>
      </c>
      <c r="F18" s="58">
        <f>SUM(Roadmap!D54:D64)</f>
        <v/>
      </c>
      <c r="G18" s="65">
        <f>IFERROR(COUNTIF(Roadmap!E54:E64,"Done")/11,0)</f>
        <v/>
      </c>
    </row>
    <row r="19" ht="21.75" customHeight="1" s="114">
      <c r="B19" s="147" t="inlineStr">
        <is>
          <t>Phase 5 — Integration &amp; QA</t>
        </is>
      </c>
      <c r="D19" s="56" t="n">
        <v>8</v>
      </c>
      <c r="E19" s="57">
        <f>COUNTIF(Roadmap!E67:E74,"Done")</f>
        <v/>
      </c>
      <c r="F19" s="58">
        <f>SUM(Roadmap!D67:D74)</f>
        <v/>
      </c>
      <c r="G19" s="67">
        <f>IFERROR(COUNTIF(Roadmap!E67:E74,"Done")/8,0)</f>
        <v/>
      </c>
    </row>
    <row r="20" ht="21.75" customHeight="1" s="114">
      <c r="B20" s="148" t="inlineStr">
        <is>
          <t>Phase 6 — Production Deployment</t>
        </is>
      </c>
      <c r="D20" s="56" t="n">
        <v>11</v>
      </c>
      <c r="E20" s="57">
        <f>COUNTIF(Roadmap!E77:E87,"Done")</f>
        <v/>
      </c>
      <c r="F20" s="58">
        <f>SUM(Roadmap!D77:D87)</f>
        <v/>
      </c>
      <c r="G20" s="69">
        <f>IFERROR(COUNTIF(Roadmap!E77:E87,"Done")/11,0)</f>
        <v/>
      </c>
    </row>
    <row r="21" ht="24" customHeight="1" s="114">
      <c r="B21" s="149" t="inlineStr">
        <is>
          <t>TOTAL</t>
        </is>
      </c>
      <c r="D21" s="71">
        <f>SUM(D15:D20)</f>
        <v/>
      </c>
      <c r="E21" s="72">
        <f>SUM(E15:E20)</f>
        <v/>
      </c>
      <c r="F21" s="73">
        <f>SUM(F15:F20)</f>
        <v/>
      </c>
      <c r="G21" s="74">
        <f>IFERROR(E21/D21,0)</f>
        <v/>
      </c>
    </row>
    <row r="22" ht="19.5" customHeight="1" s="114"/>
    <row r="23" ht="24" customHeight="1" s="114">
      <c r="B23" s="142" t="inlineStr">
        <is>
          <t>Monthly Cost Tracker (Serverless GPU)</t>
        </is>
      </c>
    </row>
    <row r="24" ht="19.5" customHeight="1" s="114">
      <c r="B24" s="75" t="inlineStr">
        <is>
          <t>Service</t>
        </is>
      </c>
      <c r="C24" s="76" t="inlineStr">
        <is>
          <t>Provider</t>
        </is>
      </c>
      <c r="D24" s="76" t="inlineStr">
        <is>
          <t>Plan</t>
        </is>
      </c>
      <c r="E24" s="76" t="inlineStr">
        <is>
          <t>INR/month</t>
        </is>
      </c>
      <c r="F24" s="76" t="inlineStr">
        <is>
          <t>Notes</t>
        </is>
      </c>
      <c r="G24" s="77" t="inlineStr">
        <is>
          <t>Notes</t>
        </is>
      </c>
    </row>
    <row r="25" ht="19.5" customHeight="1" s="114">
      <c r="B25" s="78" t="inlineStr">
        <is>
          <t>GPU Server</t>
        </is>
      </c>
      <c r="C25" s="79" t="inlineStr">
        <is>
          <t>RunPod</t>
        </is>
      </c>
      <c r="D25" s="79" t="inlineStr">
        <is>
          <t>RTX 4090 Serverless</t>
        </is>
      </c>
      <c r="E25" s="79" t="n"/>
      <c r="F25" s="79" t="inlineStr">
        <is>
          <t>Edit ↑ based on actual usage</t>
        </is>
      </c>
      <c r="G25" s="80" t="inlineStr">
        <is>
          <t>Edit ↑ based on actual usage</t>
        </is>
      </c>
    </row>
    <row r="26" ht="19.5" customHeight="1" s="114">
      <c r="B26" s="81" t="inlineStr">
        <is>
          <t>Express Backend</t>
        </is>
      </c>
      <c r="C26" s="82" t="inlineStr">
        <is>
          <t>Railway</t>
        </is>
      </c>
      <c r="D26" s="82" t="inlineStr">
        <is>
          <t>Hobby</t>
        </is>
      </c>
      <c r="E26" s="83" t="n">
        <v>400</v>
      </c>
      <c r="F26" s="82" t="inlineStr">
        <is>
          <t>Fixed monthly</t>
        </is>
      </c>
      <c r="G26" s="84" t="inlineStr">
        <is>
          <t>Fixed monthly</t>
        </is>
      </c>
    </row>
    <row r="27" ht="19.5" customHeight="1" s="114">
      <c r="B27" s="78" t="inlineStr">
        <is>
          <t>Next.js Frontend</t>
        </is>
      </c>
      <c r="C27" s="79" t="inlineStr">
        <is>
          <t>Vercel</t>
        </is>
      </c>
      <c r="D27" s="79" t="inlineStr">
        <is>
          <t>Hobby</t>
        </is>
      </c>
      <c r="E27" s="85" t="n">
        <v>0</v>
      </c>
      <c r="F27" s="79" t="inlineStr">
        <is>
          <t>Free tier</t>
        </is>
      </c>
      <c r="G27" s="80" t="inlineStr">
        <is>
          <t>Free tier</t>
        </is>
      </c>
    </row>
    <row r="28" ht="19.5" customHeight="1" s="114">
      <c r="B28" s="81" t="inlineStr">
        <is>
          <t>PostgreSQL</t>
        </is>
      </c>
      <c r="C28" s="82" t="inlineStr">
        <is>
          <t>Neon</t>
        </is>
      </c>
      <c r="D28" s="82" t="inlineStr">
        <is>
          <t>Serverless Free</t>
        </is>
      </c>
      <c r="E28" s="83" t="n">
        <v>0</v>
      </c>
      <c r="F28" s="82" t="inlineStr">
        <is>
          <t>Free up to 0.5GB</t>
        </is>
      </c>
      <c r="G28" s="84" t="inlineStr">
        <is>
          <t>Free up to 0.5GB</t>
        </is>
      </c>
    </row>
    <row r="29" ht="19.5" customHeight="1" s="114">
      <c r="B29" s="78" t="inlineStr">
        <is>
          <t>Redis</t>
        </is>
      </c>
      <c r="C29" s="79" t="inlineStr">
        <is>
          <t>Upstash</t>
        </is>
      </c>
      <c r="D29" s="79" t="inlineStr">
        <is>
          <t>Free</t>
        </is>
      </c>
      <c r="E29" s="85" t="n">
        <v>0</v>
      </c>
      <c r="F29" s="79" t="inlineStr">
        <is>
          <t>10k commands/day free</t>
        </is>
      </c>
      <c r="G29" s="80" t="inlineStr">
        <is>
          <t>10k commands/day free</t>
        </is>
      </c>
    </row>
    <row r="30" ht="19.5" customHeight="1" s="114">
      <c r="B30" s="81" t="inlineStr">
        <is>
          <t>Payments</t>
        </is>
      </c>
      <c r="C30" s="82" t="inlineStr">
        <is>
          <t>Razorpay</t>
        </is>
      </c>
      <c r="D30" s="82" t="inlineStr">
        <is>
          <t>Pay per txn</t>
        </is>
      </c>
      <c r="E30" s="83" t="n">
        <v>0</v>
      </c>
      <c r="F30" s="82" t="inlineStr">
        <is>
          <t>2% per transaction</t>
        </is>
      </c>
      <c r="G30" s="84" t="inlineStr">
        <is>
          <t>2% per transaction</t>
        </is>
      </c>
    </row>
    <row r="31" ht="19.5" customHeight="1" s="114">
      <c r="B31" s="78" t="inlineStr">
        <is>
          <t>Domain</t>
        </is>
      </c>
      <c r="C31" s="79" t="inlineStr">
        <is>
          <t>Any registrar</t>
        </is>
      </c>
      <c r="D31" s="79" t="inlineStr">
        <is>
          <t>Annual</t>
        </is>
      </c>
      <c r="E31" s="85" t="n">
        <v>0</v>
      </c>
      <c r="F31" s="79" t="inlineStr">
        <is>
          <t>~₹800/yr = ₹67/mo</t>
        </is>
      </c>
      <c r="G31" s="80" t="inlineStr">
        <is>
          <t>~₹800/yr = ₹67/mo</t>
        </is>
      </c>
    </row>
    <row r="32" ht="19.5" customHeight="1" s="114">
      <c r="B32" s="86" t="inlineStr">
        <is>
          <t>TOTAL (excl GPU)</t>
        </is>
      </c>
      <c r="C32" s="87" t="n"/>
      <c r="D32" s="87" t="n"/>
      <c r="E32" s="88">
        <f>SUM(E26:E31)</f>
        <v/>
      </c>
      <c r="F32" s="87" t="n"/>
      <c r="G32" s="89" t="n"/>
    </row>
    <row r="33" ht="19.5" customHeight="1" s="114"/>
    <row r="34" ht="19.5" customHeight="1" s="114"/>
    <row r="35" ht="19.5" customHeight="1" s="114"/>
    <row r="36" ht="19.5" customHeight="1" s="114"/>
    <row r="37" ht="19.5" customHeight="1" s="114"/>
    <row r="38" ht="19.5" customHeight="1" s="114"/>
    <row r="39" ht="19.5" customHeight="1" s="114"/>
    <row r="40" ht="19.5" customHeight="1" s="114"/>
    <row r="41" ht="19.5" customHeight="1" s="114"/>
    <row r="42" ht="19.5" customHeight="1" s="114"/>
    <row r="43" ht="19.5" customHeight="1" s="114"/>
    <row r="44" ht="19.5" customHeight="1" s="114"/>
    <row r="45" ht="19.5" customHeight="1" s="114"/>
    <row r="46" ht="19.5" customHeight="1" s="114"/>
    <row r="47" ht="19.5" customHeight="1" s="114"/>
    <row r="48" ht="19.5" customHeight="1" s="114"/>
    <row r="49" ht="19.5" customHeight="1" s="114"/>
    <row r="50" ht="19.5" customHeight="1" s="114"/>
    <row r="51" ht="19.5" customHeight="1" s="114"/>
    <row r="52" ht="19.5" customHeight="1" s="114"/>
    <row r="53" ht="19.5" customHeight="1" s="114"/>
    <row r="54" ht="19.5" customHeight="1" s="114"/>
    <row r="55" ht="19.5" customHeight="1" s="114"/>
    <row r="56" ht="19.5" customHeight="1" s="114"/>
    <row r="57" ht="19.5" customHeight="1" s="114"/>
    <row r="58" ht="19.5" customHeight="1" s="114"/>
    <row r="59" ht="19.5" customHeight="1" s="114"/>
    <row r="60" ht="15.75" customHeight="1" s="114"/>
    <row r="61" ht="15.75" customHeight="1" s="114"/>
    <row r="62" ht="15.75" customHeight="1" s="114"/>
    <row r="63" ht="15.75" customHeight="1" s="114"/>
    <row r="64" ht="15.75" customHeight="1" s="114"/>
    <row r="65" ht="15.75" customHeight="1" s="114"/>
    <row r="66" ht="15.75" customHeight="1" s="114"/>
    <row r="67" ht="15.75" customHeight="1" s="114"/>
    <row r="68" ht="15.75" customHeight="1" s="114"/>
    <row r="69" ht="15.75" customHeight="1" s="114"/>
    <row r="70" ht="15.75" customHeight="1" s="114"/>
    <row r="71" ht="15.75" customHeight="1" s="114"/>
    <row r="72" ht="15.75" customHeight="1" s="114"/>
    <row r="73" ht="15.75" customHeight="1" s="114"/>
    <row r="74" ht="15.75" customHeight="1" s="114"/>
    <row r="75" ht="15.75" customHeight="1" s="114"/>
    <row r="76" ht="15.75" customHeight="1" s="114"/>
    <row r="77" ht="15.75" customHeight="1" s="114"/>
    <row r="78" ht="15.75" customHeight="1" s="114"/>
    <row r="79" ht="15.75" customHeight="1" s="114"/>
    <row r="80" ht="15.75" customHeight="1" s="114"/>
    <row r="81" ht="15.75" customHeight="1" s="114"/>
    <row r="82" ht="15.75" customHeight="1" s="114"/>
    <row r="83" ht="15.75" customHeight="1" s="114"/>
    <row r="84" ht="15.75" customHeight="1" s="114"/>
    <row r="85" ht="15.75" customHeight="1" s="114"/>
    <row r="86" ht="15.75" customHeight="1" s="114"/>
    <row r="87" ht="15.75" customHeight="1" s="114"/>
    <row r="88" ht="15.75" customHeight="1" s="114"/>
    <row r="89" ht="15.75" customHeight="1" s="114"/>
    <row r="90" ht="15.75" customHeight="1" s="114"/>
    <row r="91" ht="15.75" customHeight="1" s="114"/>
    <row r="92" ht="15.75" customHeight="1" s="114"/>
    <row r="93" ht="15.75" customHeight="1" s="114"/>
    <row r="94" ht="15.75" customHeight="1" s="114"/>
    <row r="95" ht="15.75" customHeight="1" s="114"/>
    <row r="96" ht="15.75" customHeight="1" s="114"/>
    <row r="97" ht="15.75" customHeight="1" s="114"/>
    <row r="98" ht="15.75" customHeight="1" s="114"/>
    <row r="99" ht="15.75" customHeight="1" s="114"/>
    <row r="100" ht="15.75" customHeight="1" s="114"/>
    <row r="101" ht="15.75" customHeight="1" s="114"/>
    <row r="102" ht="15.75" customHeight="1" s="114"/>
    <row r="103" ht="15.75" customHeight="1" s="114"/>
    <row r="104" ht="15.75" customHeight="1" s="114"/>
    <row r="105" ht="15.75" customHeight="1" s="114"/>
    <row r="106" ht="15.75" customHeight="1" s="114"/>
    <row r="107" ht="15.75" customHeight="1" s="114"/>
    <row r="108" ht="15.75" customHeight="1" s="114"/>
    <row r="109" ht="15.75" customHeight="1" s="114"/>
    <row r="110" ht="15.75" customHeight="1" s="114"/>
    <row r="111" ht="15.75" customHeight="1" s="114"/>
    <row r="112" ht="15.75" customHeight="1" s="114"/>
    <row r="113" ht="15.75" customHeight="1" s="114"/>
    <row r="114" ht="15.75" customHeight="1" s="114"/>
    <row r="115" ht="15.75" customHeight="1" s="114"/>
    <row r="116" ht="15.75" customHeight="1" s="114"/>
    <row r="117" ht="15.75" customHeight="1" s="114"/>
    <row r="118" ht="15.75" customHeight="1" s="114"/>
    <row r="119" ht="15.75" customHeight="1" s="114"/>
    <row r="120" ht="15.75" customHeight="1" s="114"/>
    <row r="121" ht="15.75" customHeight="1" s="114"/>
    <row r="122" ht="15.75" customHeight="1" s="114"/>
    <row r="123" ht="15.75" customHeight="1" s="114"/>
    <row r="124" ht="15.75" customHeight="1" s="114"/>
    <row r="125" ht="15.75" customHeight="1" s="114"/>
    <row r="126" ht="15.75" customHeight="1" s="114"/>
    <row r="127" ht="15.75" customHeight="1" s="114"/>
    <row r="128" ht="15.75" customHeight="1" s="114"/>
    <row r="129" ht="15.75" customHeight="1" s="114"/>
    <row r="130" ht="15.75" customHeight="1" s="114"/>
    <row r="131" ht="15.75" customHeight="1" s="114"/>
    <row r="132" ht="15.75" customHeight="1" s="114"/>
    <row r="133" ht="15.75" customHeight="1" s="114"/>
    <row r="134" ht="15.75" customHeight="1" s="114"/>
    <row r="135" ht="15.75" customHeight="1" s="114"/>
    <row r="136" ht="15.75" customHeight="1" s="114"/>
    <row r="137" ht="15.75" customHeight="1" s="114"/>
    <row r="138" ht="15.75" customHeight="1" s="114"/>
    <row r="139" ht="15.75" customHeight="1" s="114"/>
    <row r="140" ht="15.75" customHeight="1" s="114"/>
    <row r="141" ht="15.75" customHeight="1" s="114"/>
    <row r="142" ht="15.75" customHeight="1" s="114"/>
    <row r="143" ht="15.75" customHeight="1" s="114"/>
    <row r="144" ht="15.75" customHeight="1" s="114"/>
    <row r="145" ht="15.75" customHeight="1" s="114"/>
    <row r="146" ht="15.75" customHeight="1" s="114"/>
    <row r="147" ht="15.75" customHeight="1" s="114"/>
    <row r="148" ht="15.75" customHeight="1" s="114"/>
    <row r="149" ht="15.75" customHeight="1" s="114"/>
    <row r="150" ht="15.75" customHeight="1" s="114"/>
    <row r="151" ht="15.75" customHeight="1" s="114"/>
    <row r="152" ht="15.75" customHeight="1" s="114"/>
    <row r="153" ht="15.75" customHeight="1" s="114"/>
    <row r="154" ht="15.75" customHeight="1" s="114"/>
    <row r="155" ht="15.75" customHeight="1" s="114"/>
    <row r="156" ht="15.75" customHeight="1" s="114"/>
    <row r="157" ht="15.75" customHeight="1" s="114"/>
    <row r="158" ht="15.75" customHeight="1" s="114"/>
    <row r="159" ht="15.75" customHeight="1" s="114"/>
    <row r="160" ht="15.75" customHeight="1" s="114"/>
    <row r="161" ht="15.75" customHeight="1" s="114"/>
    <row r="162" ht="15.75" customHeight="1" s="114"/>
    <row r="163" ht="15.75" customHeight="1" s="114"/>
    <row r="164" ht="15.75" customHeight="1" s="114"/>
    <row r="165" ht="15.75" customHeight="1" s="114"/>
    <row r="166" ht="15.75" customHeight="1" s="114"/>
    <row r="167" ht="15.75" customHeight="1" s="114"/>
    <row r="168" ht="15.75" customHeight="1" s="114"/>
    <row r="169" ht="15.75" customHeight="1" s="114"/>
    <row r="170" ht="15.75" customHeight="1" s="114"/>
    <row r="171" ht="15.75" customHeight="1" s="114"/>
    <row r="172" ht="15.75" customHeight="1" s="114"/>
    <row r="173" ht="15.75" customHeight="1" s="114"/>
    <row r="174" ht="15.75" customHeight="1" s="114"/>
    <row r="175" ht="15.75" customHeight="1" s="114"/>
    <row r="176" ht="15.75" customHeight="1" s="114"/>
    <row r="177" ht="15.75" customHeight="1" s="114"/>
    <row r="178" ht="15.75" customHeight="1" s="114"/>
    <row r="179" ht="15.75" customHeight="1" s="114"/>
    <row r="180" ht="15.75" customHeight="1" s="114"/>
    <row r="181" ht="15.75" customHeight="1" s="114"/>
    <row r="182" ht="15.75" customHeight="1" s="114"/>
    <row r="183" ht="15.75" customHeight="1" s="114"/>
    <row r="184" ht="15.75" customHeight="1" s="114"/>
    <row r="185" ht="15.75" customHeight="1" s="114"/>
    <row r="186" ht="15.75" customHeight="1" s="114"/>
    <row r="187" ht="15.75" customHeight="1" s="114"/>
    <row r="188" ht="15.75" customHeight="1" s="114"/>
    <row r="189" ht="15.75" customHeight="1" s="114"/>
    <row r="190" ht="15.75" customHeight="1" s="114"/>
    <row r="191" ht="15.75" customHeight="1" s="114"/>
    <row r="192" ht="15.75" customHeight="1" s="114"/>
    <row r="193" ht="15.75" customHeight="1" s="114"/>
    <row r="194" ht="15.75" customHeight="1" s="114"/>
    <row r="195" ht="15.75" customHeight="1" s="114"/>
    <row r="196" ht="15.75" customHeight="1" s="114"/>
    <row r="197" ht="15.75" customHeight="1" s="114"/>
    <row r="198" ht="15.75" customHeight="1" s="114"/>
    <row r="199" ht="15.75" customHeight="1" s="114"/>
    <row r="200" ht="15.75" customHeight="1" s="114"/>
    <row r="201" ht="15.75" customHeight="1" s="114"/>
    <row r="202" ht="15.75" customHeight="1" s="114"/>
    <row r="203" ht="15.75" customHeight="1" s="114"/>
    <row r="204" ht="15.75" customHeight="1" s="114"/>
    <row r="205" ht="15.75" customHeight="1" s="114"/>
    <row r="206" ht="15.75" customHeight="1" s="114"/>
    <row r="207" ht="15.75" customHeight="1" s="114"/>
    <row r="208" ht="15.75" customHeight="1" s="114"/>
    <row r="209" ht="15.75" customHeight="1" s="114"/>
    <row r="210" ht="15.75" customHeight="1" s="114"/>
    <row r="211" ht="15.75" customHeight="1" s="114"/>
    <row r="212" ht="15.75" customHeight="1" s="114"/>
    <row r="213" ht="15.75" customHeight="1" s="114"/>
    <row r="214" ht="15.75" customHeight="1" s="114"/>
    <row r="215" ht="15.75" customHeight="1" s="114"/>
    <row r="216" ht="15.75" customHeight="1" s="114"/>
    <row r="217" ht="15.75" customHeight="1" s="114"/>
    <row r="218" ht="15.75" customHeight="1" s="114"/>
    <row r="219" ht="15.75" customHeight="1" s="114"/>
    <row r="220" ht="15.75" customHeight="1" s="114"/>
    <row r="221" ht="15.75" customHeight="1" s="114"/>
    <row r="222" ht="15.75" customHeight="1" s="114"/>
    <row r="223" ht="15.75" customHeight="1" s="114"/>
    <row r="224" ht="15.75" customHeight="1" s="114"/>
    <row r="225" ht="15.75" customHeight="1" s="114"/>
    <row r="226" ht="15.75" customHeight="1" s="114"/>
    <row r="227" ht="15.75" customHeight="1" s="114"/>
    <row r="228" ht="15.75" customHeight="1" s="114"/>
    <row r="229" ht="15.75" customHeight="1" s="114"/>
    <row r="230" ht="15.75" customHeight="1" s="114"/>
    <row r="231" ht="15.75" customHeight="1" s="114"/>
    <row r="232" ht="15.75" customHeight="1" s="114"/>
    <row r="233" ht="15.75" customHeight="1" s="114"/>
    <row r="234" ht="15.75" customHeight="1" s="114"/>
    <row r="235" ht="15.75" customHeight="1" s="114"/>
    <row r="236" ht="15.75" customHeight="1" s="114"/>
    <row r="237" ht="15.75" customHeight="1" s="114"/>
    <row r="238" ht="15.75" customHeight="1" s="114"/>
    <row r="239" ht="15.75" customHeight="1" s="114"/>
    <row r="240" ht="15.75" customHeight="1" s="114"/>
    <row r="241" ht="15.75" customHeight="1" s="114"/>
    <row r="242" ht="15.75" customHeight="1" s="114"/>
    <row r="243" ht="15.75" customHeight="1" s="114"/>
    <row r="244" ht="15.75" customHeight="1" s="114"/>
    <row r="245" ht="15.75" customHeight="1" s="114"/>
    <row r="246" ht="15.75" customHeight="1" s="114"/>
    <row r="247" ht="15.75" customHeight="1" s="114"/>
    <row r="248" ht="15.75" customHeight="1" s="114"/>
    <row r="249" ht="15.75" customHeight="1" s="114"/>
    <row r="250" ht="15.75" customHeight="1" s="114"/>
    <row r="251" ht="15.75" customHeight="1" s="114"/>
    <row r="252" ht="15.75" customHeight="1" s="114"/>
    <row r="253" ht="15.75" customHeight="1" s="114"/>
    <row r="254" ht="15.75" customHeight="1" s="114"/>
    <row r="255" ht="15.75" customHeight="1" s="114"/>
    <row r="256" ht="15.75" customHeight="1" s="114"/>
    <row r="257" ht="15.75" customHeight="1" s="114"/>
    <row r="258" ht="15.75" customHeight="1" s="114"/>
    <row r="259" ht="15.75" customHeight="1" s="114"/>
    <row r="260" ht="15.75" customHeight="1" s="114"/>
    <row r="261" ht="15.75" customHeight="1" s="114"/>
    <row r="262" ht="15.75" customHeight="1" s="114"/>
    <row r="263" ht="15.75" customHeight="1" s="114"/>
    <row r="264" ht="15.75" customHeight="1" s="114"/>
    <row r="265" ht="15.75" customHeight="1" s="114"/>
    <row r="266" ht="15.75" customHeight="1" s="114"/>
    <row r="267" ht="15.75" customHeight="1" s="114"/>
    <row r="268" ht="15.75" customHeight="1" s="114"/>
    <row r="269" ht="15.75" customHeight="1" s="114"/>
    <row r="270" ht="15.75" customHeight="1" s="114"/>
    <row r="271" ht="15.75" customHeight="1" s="114"/>
    <row r="272" ht="15.75" customHeight="1" s="114"/>
    <row r="273" ht="15.75" customHeight="1" s="114"/>
    <row r="274" ht="15.75" customHeight="1" s="114"/>
    <row r="275" ht="15.75" customHeight="1" s="114"/>
    <row r="276" ht="15.75" customHeight="1" s="114"/>
    <row r="277" ht="15.75" customHeight="1" s="114"/>
    <row r="278" ht="15.75" customHeight="1" s="114"/>
    <row r="279" ht="15.75" customHeight="1" s="114"/>
    <row r="280" ht="15.75" customHeight="1" s="114"/>
    <row r="281" ht="15.75" customHeight="1" s="114"/>
    <row r="282" ht="15.75" customHeight="1" s="114"/>
    <row r="283" ht="15.75" customHeight="1" s="114"/>
    <row r="284" ht="15.75" customHeight="1" s="114"/>
    <row r="285" ht="15.75" customHeight="1" s="114"/>
    <row r="286" ht="15.75" customHeight="1" s="114"/>
    <row r="287" ht="15.75" customHeight="1" s="114"/>
    <row r="288" ht="15.75" customHeight="1" s="114"/>
    <row r="289" ht="15.75" customHeight="1" s="114"/>
    <row r="290" ht="15.75" customHeight="1" s="114"/>
    <row r="291" ht="15.75" customHeight="1" s="114"/>
    <row r="292" ht="15.75" customHeight="1" s="114"/>
    <row r="293" ht="15.75" customHeight="1" s="114"/>
    <row r="294" ht="15.75" customHeight="1" s="114"/>
    <row r="295" ht="15.75" customHeight="1" s="114"/>
    <row r="296" ht="15.75" customHeight="1" s="114"/>
    <row r="297" ht="15.75" customHeight="1" s="114"/>
    <row r="298" ht="15.75" customHeight="1" s="114"/>
    <row r="299" ht="15.75" customHeight="1" s="114"/>
    <row r="300" ht="15.75" customHeight="1" s="114"/>
    <row r="301" ht="15.75" customHeight="1" s="114"/>
    <row r="302" ht="15.75" customHeight="1" s="114"/>
    <row r="303" ht="15.75" customHeight="1" s="114"/>
    <row r="304" ht="15.75" customHeight="1" s="114"/>
    <row r="305" ht="15.75" customHeight="1" s="114"/>
    <row r="306" ht="15.75" customHeight="1" s="114"/>
    <row r="307" ht="15.75" customHeight="1" s="114"/>
    <row r="308" ht="15.75" customHeight="1" s="114"/>
    <row r="309" ht="15.75" customHeight="1" s="114"/>
    <row r="310" ht="15.75" customHeight="1" s="114"/>
    <row r="311" ht="15.75" customHeight="1" s="114"/>
    <row r="312" ht="15.75" customHeight="1" s="114"/>
    <row r="313" ht="15.75" customHeight="1" s="114"/>
    <row r="314" ht="15.75" customHeight="1" s="114"/>
    <row r="315" ht="15.75" customHeight="1" s="114"/>
    <row r="316" ht="15.75" customHeight="1" s="114"/>
    <row r="317" ht="15.75" customHeight="1" s="114"/>
    <row r="318" ht="15.75" customHeight="1" s="114"/>
    <row r="319" ht="15.75" customHeight="1" s="114"/>
    <row r="320" ht="15.75" customHeight="1" s="114"/>
    <row r="321" ht="15.75" customHeight="1" s="114"/>
    <row r="322" ht="15.75" customHeight="1" s="114"/>
    <row r="323" ht="15.75" customHeight="1" s="114"/>
    <row r="324" ht="15.75" customHeight="1" s="114"/>
    <row r="325" ht="15.75" customHeight="1" s="114"/>
    <row r="326" ht="15.75" customHeight="1" s="114"/>
    <row r="327" ht="15.75" customHeight="1" s="114"/>
    <row r="328" ht="15.75" customHeight="1" s="114"/>
    <row r="329" ht="15.75" customHeight="1" s="114"/>
    <row r="330" ht="15.75" customHeight="1" s="114"/>
    <row r="331" ht="15.75" customHeight="1" s="114"/>
    <row r="332" ht="15.75" customHeight="1" s="114"/>
    <row r="333" ht="15.75" customHeight="1" s="114"/>
    <row r="334" ht="15.75" customHeight="1" s="114"/>
    <row r="335" ht="15.75" customHeight="1" s="114"/>
    <row r="336" ht="15.75" customHeight="1" s="114"/>
    <row r="337" ht="15.75" customHeight="1" s="114"/>
    <row r="338" ht="15.75" customHeight="1" s="114"/>
    <row r="339" ht="15.75" customHeight="1" s="114"/>
    <row r="340" ht="15.75" customHeight="1" s="114"/>
    <row r="341" ht="15.75" customHeight="1" s="114"/>
    <row r="342" ht="15.75" customHeight="1" s="114"/>
    <row r="343" ht="15.75" customHeight="1" s="114"/>
    <row r="344" ht="15.75" customHeight="1" s="114"/>
    <row r="345" ht="15.75" customHeight="1" s="114"/>
    <row r="346" ht="15.75" customHeight="1" s="114"/>
    <row r="347" ht="15.75" customHeight="1" s="114"/>
    <row r="348" ht="15.75" customHeight="1" s="114"/>
    <row r="349" ht="15.75" customHeight="1" s="114"/>
    <row r="350" ht="15.75" customHeight="1" s="114"/>
    <row r="351" ht="15.75" customHeight="1" s="114"/>
    <row r="352" ht="15.75" customHeight="1" s="114"/>
    <row r="353" ht="15.75" customHeight="1" s="114"/>
    <row r="354" ht="15.75" customHeight="1" s="114"/>
    <row r="355" ht="15.75" customHeight="1" s="114"/>
    <row r="356" ht="15.75" customHeight="1" s="114"/>
    <row r="357" ht="15.75" customHeight="1" s="114"/>
    <row r="358" ht="15.75" customHeight="1" s="114"/>
    <row r="359" ht="15.75" customHeight="1" s="114"/>
    <row r="360" ht="15.75" customHeight="1" s="114"/>
    <row r="361" ht="15.75" customHeight="1" s="114"/>
    <row r="362" ht="15.75" customHeight="1" s="114"/>
    <row r="363" ht="15.75" customHeight="1" s="114"/>
    <row r="364" ht="15.75" customHeight="1" s="114"/>
    <row r="365" ht="15.75" customHeight="1" s="114"/>
    <row r="366" ht="15.75" customHeight="1" s="114"/>
    <row r="367" ht="15.75" customHeight="1" s="114"/>
    <row r="368" ht="15.75" customHeight="1" s="114"/>
    <row r="369" ht="15.75" customHeight="1" s="114"/>
    <row r="370" ht="15.75" customHeight="1" s="114"/>
    <row r="371" ht="15.75" customHeight="1" s="114"/>
    <row r="372" ht="15.75" customHeight="1" s="114"/>
    <row r="373" ht="15.75" customHeight="1" s="114"/>
    <row r="374" ht="15.75" customHeight="1" s="114"/>
    <row r="375" ht="15.75" customHeight="1" s="114"/>
    <row r="376" ht="15.75" customHeight="1" s="114"/>
    <row r="377" ht="15.75" customHeight="1" s="114"/>
    <row r="378" ht="15.75" customHeight="1" s="114"/>
    <row r="379" ht="15.75" customHeight="1" s="114"/>
    <row r="380" ht="15.75" customHeight="1" s="114"/>
    <row r="381" ht="15.75" customHeight="1" s="114"/>
    <row r="382" ht="15.75" customHeight="1" s="114"/>
    <row r="383" ht="15.75" customHeight="1" s="114"/>
    <row r="384" ht="15.75" customHeight="1" s="114"/>
    <row r="385" ht="15.75" customHeight="1" s="114"/>
    <row r="386" ht="15.75" customHeight="1" s="114"/>
    <row r="387" ht="15.75" customHeight="1" s="114"/>
    <row r="388" ht="15.75" customHeight="1" s="114"/>
    <row r="389" ht="15.75" customHeight="1" s="114"/>
    <row r="390" ht="15.75" customHeight="1" s="114"/>
    <row r="391" ht="15.75" customHeight="1" s="114"/>
    <row r="392" ht="15.75" customHeight="1" s="114"/>
    <row r="393" ht="15.75" customHeight="1" s="114"/>
    <row r="394" ht="15.75" customHeight="1" s="114"/>
    <row r="395" ht="15.75" customHeight="1" s="114"/>
    <row r="396" ht="15.75" customHeight="1" s="114"/>
    <row r="397" ht="15.75" customHeight="1" s="114"/>
    <row r="398" ht="15.75" customHeight="1" s="114"/>
    <row r="399" ht="15.75" customHeight="1" s="114"/>
    <row r="400" ht="15.75" customHeight="1" s="114"/>
    <row r="401" ht="15.75" customHeight="1" s="114"/>
    <row r="402" ht="15.75" customHeight="1" s="114"/>
    <row r="403" ht="15.75" customHeight="1" s="114"/>
    <row r="404" ht="15.75" customHeight="1" s="114"/>
    <row r="405" ht="15.75" customHeight="1" s="114"/>
    <row r="406" ht="15.75" customHeight="1" s="114"/>
    <row r="407" ht="15.75" customHeight="1" s="114"/>
    <row r="408" ht="15.75" customHeight="1" s="114"/>
    <row r="409" ht="15.75" customHeight="1" s="114"/>
    <row r="410" ht="15.75" customHeight="1" s="114"/>
    <row r="411" ht="15.75" customHeight="1" s="114"/>
    <row r="412" ht="15.75" customHeight="1" s="114"/>
    <row r="413" ht="15.75" customHeight="1" s="114"/>
    <row r="414" ht="15.75" customHeight="1" s="114"/>
    <row r="415" ht="15.75" customHeight="1" s="114"/>
    <row r="416" ht="15.75" customHeight="1" s="114"/>
    <row r="417" ht="15.75" customHeight="1" s="114"/>
    <row r="418" ht="15.75" customHeight="1" s="114"/>
    <row r="419" ht="15.75" customHeight="1" s="114"/>
    <row r="420" ht="15.75" customHeight="1" s="114"/>
    <row r="421" ht="15.75" customHeight="1" s="114"/>
    <row r="422" ht="15.75" customHeight="1" s="114"/>
    <row r="423" ht="15.75" customHeight="1" s="114"/>
    <row r="424" ht="15.75" customHeight="1" s="114"/>
    <row r="425" ht="15.75" customHeight="1" s="114"/>
    <row r="426" ht="15.75" customHeight="1" s="114"/>
    <row r="427" ht="15.75" customHeight="1" s="114"/>
    <row r="428" ht="15.75" customHeight="1" s="114"/>
    <row r="429" ht="15.75" customHeight="1" s="114"/>
    <row r="430" ht="15.75" customHeight="1" s="114"/>
    <row r="431" ht="15.75" customHeight="1" s="114"/>
    <row r="432" ht="15.75" customHeight="1" s="114"/>
    <row r="433" ht="15.75" customHeight="1" s="114"/>
    <row r="434" ht="15.75" customHeight="1" s="114"/>
    <row r="435" ht="15.75" customHeight="1" s="114"/>
    <row r="436" ht="15.75" customHeight="1" s="114"/>
    <row r="437" ht="15.75" customHeight="1" s="114"/>
    <row r="438" ht="15.75" customHeight="1" s="114"/>
    <row r="439" ht="15.75" customHeight="1" s="114"/>
    <row r="440" ht="15.75" customHeight="1" s="114"/>
    <row r="441" ht="15.75" customHeight="1" s="114"/>
    <row r="442" ht="15.75" customHeight="1" s="114"/>
    <row r="443" ht="15.75" customHeight="1" s="114"/>
    <row r="444" ht="15.75" customHeight="1" s="114"/>
    <row r="445" ht="15.75" customHeight="1" s="114"/>
    <row r="446" ht="15.75" customHeight="1" s="114"/>
    <row r="447" ht="15.75" customHeight="1" s="114"/>
    <row r="448" ht="15.75" customHeight="1" s="114"/>
    <row r="449" ht="15.75" customHeight="1" s="114"/>
    <row r="450" ht="15.75" customHeight="1" s="114"/>
    <row r="451" ht="15.75" customHeight="1" s="114"/>
    <row r="452" ht="15.75" customHeight="1" s="114"/>
    <row r="453" ht="15.75" customHeight="1" s="114"/>
    <row r="454" ht="15.75" customHeight="1" s="114"/>
    <row r="455" ht="15.75" customHeight="1" s="114"/>
    <row r="456" ht="15.75" customHeight="1" s="114"/>
    <row r="457" ht="15.75" customHeight="1" s="114"/>
    <row r="458" ht="15.75" customHeight="1" s="114"/>
    <row r="459" ht="15.75" customHeight="1" s="114"/>
    <row r="460" ht="15.75" customHeight="1" s="114"/>
    <row r="461" ht="15.75" customHeight="1" s="114"/>
    <row r="462" ht="15.75" customHeight="1" s="114"/>
    <row r="463" ht="15.75" customHeight="1" s="114"/>
    <row r="464" ht="15.75" customHeight="1" s="114"/>
    <row r="465" ht="15.75" customHeight="1" s="114"/>
    <row r="466" ht="15.75" customHeight="1" s="114"/>
    <row r="467" ht="15.75" customHeight="1" s="114"/>
    <row r="468" ht="15.75" customHeight="1" s="114"/>
    <row r="469" ht="15.75" customHeight="1" s="114"/>
    <row r="470" ht="15.75" customHeight="1" s="114"/>
    <row r="471" ht="15.75" customHeight="1" s="114"/>
    <row r="472" ht="15.75" customHeight="1" s="114"/>
    <row r="473" ht="15.75" customHeight="1" s="114"/>
    <row r="474" ht="15.75" customHeight="1" s="114"/>
    <row r="475" ht="15.75" customHeight="1" s="114"/>
    <row r="476" ht="15.75" customHeight="1" s="114"/>
    <row r="477" ht="15.75" customHeight="1" s="114"/>
    <row r="478" ht="15.75" customHeight="1" s="114"/>
    <row r="479" ht="15.75" customHeight="1" s="114"/>
    <row r="480" ht="15.75" customHeight="1" s="114"/>
    <row r="481" ht="15.75" customHeight="1" s="114"/>
    <row r="482" ht="15.75" customHeight="1" s="114"/>
    <row r="483" ht="15.75" customHeight="1" s="114"/>
    <row r="484" ht="15.75" customHeight="1" s="114"/>
    <row r="485" ht="15.75" customHeight="1" s="114"/>
    <row r="486" ht="15.75" customHeight="1" s="114"/>
    <row r="487" ht="15.75" customHeight="1" s="114"/>
    <row r="488" ht="15.75" customHeight="1" s="114"/>
    <row r="489" ht="15.75" customHeight="1" s="114"/>
    <row r="490" ht="15.75" customHeight="1" s="114"/>
    <row r="491" ht="15.75" customHeight="1" s="114"/>
    <row r="492" ht="15.75" customHeight="1" s="114"/>
    <row r="493" ht="15.75" customHeight="1" s="114"/>
    <row r="494" ht="15.75" customHeight="1" s="114"/>
    <row r="495" ht="15.75" customHeight="1" s="114"/>
    <row r="496" ht="15.75" customHeight="1" s="114"/>
    <row r="497" ht="15.75" customHeight="1" s="114"/>
    <row r="498" ht="15.75" customHeight="1" s="114"/>
    <row r="499" ht="15.75" customHeight="1" s="114"/>
    <row r="500" ht="15.75" customHeight="1" s="114"/>
    <row r="501" ht="15.75" customHeight="1" s="114"/>
    <row r="502" ht="15.75" customHeight="1" s="114"/>
    <row r="503" ht="15.75" customHeight="1" s="114"/>
    <row r="504" ht="15.75" customHeight="1" s="114"/>
    <row r="505" ht="15.75" customHeight="1" s="114"/>
    <row r="506" ht="15.75" customHeight="1" s="114"/>
    <row r="507" ht="15.75" customHeight="1" s="114"/>
    <row r="508" ht="15.75" customHeight="1" s="114"/>
    <row r="509" ht="15.75" customHeight="1" s="114"/>
    <row r="510" ht="15.75" customHeight="1" s="114"/>
    <row r="511" ht="15.75" customHeight="1" s="114"/>
    <row r="512" ht="15.75" customHeight="1" s="114"/>
    <row r="513" ht="15.75" customHeight="1" s="114"/>
    <row r="514" ht="15.75" customHeight="1" s="114"/>
    <row r="515" ht="15.75" customHeight="1" s="114"/>
    <row r="516" ht="15.75" customHeight="1" s="114"/>
    <row r="517" ht="15.75" customHeight="1" s="114"/>
    <row r="518" ht="15.75" customHeight="1" s="114"/>
    <row r="519" ht="15.75" customHeight="1" s="114"/>
    <row r="520" ht="15.75" customHeight="1" s="114"/>
    <row r="521" ht="15.75" customHeight="1" s="114"/>
    <row r="522" ht="15.75" customHeight="1" s="114"/>
    <row r="523" ht="15.75" customHeight="1" s="114"/>
    <row r="524" ht="15.75" customHeight="1" s="114"/>
    <row r="525" ht="15.75" customHeight="1" s="114"/>
    <row r="526" ht="15.75" customHeight="1" s="114"/>
    <row r="527" ht="15.75" customHeight="1" s="114"/>
    <row r="528" ht="15.75" customHeight="1" s="114"/>
    <row r="529" ht="15.75" customHeight="1" s="114"/>
    <row r="530" ht="15.75" customHeight="1" s="114"/>
    <row r="531" ht="15.75" customHeight="1" s="114"/>
    <row r="532" ht="15.75" customHeight="1" s="114"/>
    <row r="533" ht="15.75" customHeight="1" s="114"/>
    <row r="534" ht="15.75" customHeight="1" s="114"/>
    <row r="535" ht="15.75" customHeight="1" s="114"/>
    <row r="536" ht="15.75" customHeight="1" s="114"/>
    <row r="537" ht="15.75" customHeight="1" s="114"/>
    <row r="538" ht="15.75" customHeight="1" s="114"/>
    <row r="539" ht="15.75" customHeight="1" s="114"/>
    <row r="540" ht="15.75" customHeight="1" s="114"/>
    <row r="541" ht="15.75" customHeight="1" s="114"/>
    <row r="542" ht="15.75" customHeight="1" s="114"/>
    <row r="543" ht="15.75" customHeight="1" s="114"/>
    <row r="544" ht="15.75" customHeight="1" s="114"/>
    <row r="545" ht="15.75" customHeight="1" s="114"/>
    <row r="546" ht="15.75" customHeight="1" s="114"/>
    <row r="547" ht="15.75" customHeight="1" s="114"/>
    <row r="548" ht="15.75" customHeight="1" s="114"/>
    <row r="549" ht="15.75" customHeight="1" s="114"/>
    <row r="550" ht="15.75" customHeight="1" s="114"/>
    <row r="551" ht="15.75" customHeight="1" s="114"/>
    <row r="552" ht="15.75" customHeight="1" s="114"/>
    <row r="553" ht="15.75" customHeight="1" s="114"/>
    <row r="554" ht="15.75" customHeight="1" s="114"/>
    <row r="555" ht="15.75" customHeight="1" s="114"/>
    <row r="556" ht="15.75" customHeight="1" s="114"/>
    <row r="557" ht="15.75" customHeight="1" s="114"/>
    <row r="558" ht="15.75" customHeight="1" s="114"/>
    <row r="559" ht="15.75" customHeight="1" s="114"/>
    <row r="560" ht="15.75" customHeight="1" s="114"/>
    <row r="561" ht="15.75" customHeight="1" s="114"/>
    <row r="562" ht="15.75" customHeight="1" s="114"/>
    <row r="563" ht="15.75" customHeight="1" s="114"/>
    <row r="564" ht="15.75" customHeight="1" s="114"/>
    <row r="565" ht="15.75" customHeight="1" s="114"/>
    <row r="566" ht="15.75" customHeight="1" s="114"/>
    <row r="567" ht="15.75" customHeight="1" s="114"/>
    <row r="568" ht="15.75" customHeight="1" s="114"/>
    <row r="569" ht="15.75" customHeight="1" s="114"/>
    <row r="570" ht="15.75" customHeight="1" s="114"/>
    <row r="571" ht="15.75" customHeight="1" s="114"/>
    <row r="572" ht="15.75" customHeight="1" s="114"/>
    <row r="573" ht="15.75" customHeight="1" s="114"/>
    <row r="574" ht="15.75" customHeight="1" s="114"/>
    <row r="575" ht="15.75" customHeight="1" s="114"/>
    <row r="576" ht="15.75" customHeight="1" s="114"/>
    <row r="577" ht="15.75" customHeight="1" s="114"/>
    <row r="578" ht="15.75" customHeight="1" s="114"/>
    <row r="579" ht="15.75" customHeight="1" s="114"/>
    <row r="580" ht="15.75" customHeight="1" s="114"/>
    <row r="581" ht="15.75" customHeight="1" s="114"/>
    <row r="582" ht="15.75" customHeight="1" s="114"/>
    <row r="583" ht="15.75" customHeight="1" s="114"/>
    <row r="584" ht="15.75" customHeight="1" s="114"/>
    <row r="585" ht="15.75" customHeight="1" s="114"/>
    <row r="586" ht="15.75" customHeight="1" s="114"/>
    <row r="587" ht="15.75" customHeight="1" s="114"/>
    <row r="588" ht="15.75" customHeight="1" s="114"/>
    <row r="589" ht="15.75" customHeight="1" s="114"/>
    <row r="590" ht="15.75" customHeight="1" s="114"/>
    <row r="591" ht="15.75" customHeight="1" s="114"/>
    <row r="592" ht="15.75" customHeight="1" s="114"/>
    <row r="593" ht="15.75" customHeight="1" s="114"/>
    <row r="594" ht="15.75" customHeight="1" s="114"/>
    <row r="595" ht="15.75" customHeight="1" s="114"/>
    <row r="596" ht="15.75" customHeight="1" s="114"/>
    <row r="597" ht="15.75" customHeight="1" s="114"/>
    <row r="598" ht="15.75" customHeight="1" s="114"/>
    <row r="599" ht="15.75" customHeight="1" s="114"/>
    <row r="600" ht="15.75" customHeight="1" s="114"/>
    <row r="601" ht="15.75" customHeight="1" s="114"/>
    <row r="602" ht="15.75" customHeight="1" s="114"/>
    <row r="603" ht="15.75" customHeight="1" s="114"/>
    <row r="604" ht="15.75" customHeight="1" s="114"/>
    <row r="605" ht="15.75" customHeight="1" s="114"/>
    <row r="606" ht="15.75" customHeight="1" s="114"/>
    <row r="607" ht="15.75" customHeight="1" s="114"/>
    <row r="608" ht="15.75" customHeight="1" s="114"/>
    <row r="609" ht="15.75" customHeight="1" s="114"/>
    <row r="610" ht="15.75" customHeight="1" s="114"/>
    <row r="611" ht="15.75" customHeight="1" s="114"/>
    <row r="612" ht="15.75" customHeight="1" s="114"/>
    <row r="613" ht="15.75" customHeight="1" s="114"/>
    <row r="614" ht="15.75" customHeight="1" s="114"/>
    <row r="615" ht="15.75" customHeight="1" s="114"/>
    <row r="616" ht="15.75" customHeight="1" s="114"/>
    <row r="617" ht="15.75" customHeight="1" s="114"/>
    <row r="618" ht="15.75" customHeight="1" s="114"/>
    <row r="619" ht="15.75" customHeight="1" s="114"/>
    <row r="620" ht="15.75" customHeight="1" s="114"/>
    <row r="621" ht="15.75" customHeight="1" s="114"/>
    <row r="622" ht="15.75" customHeight="1" s="114"/>
    <row r="623" ht="15.75" customHeight="1" s="114"/>
    <row r="624" ht="15.75" customHeight="1" s="114"/>
    <row r="625" ht="15.75" customHeight="1" s="114"/>
    <row r="626" ht="15.75" customHeight="1" s="114"/>
    <row r="627" ht="15.75" customHeight="1" s="114"/>
    <row r="628" ht="15.75" customHeight="1" s="114"/>
    <row r="629" ht="15.75" customHeight="1" s="114"/>
    <row r="630" ht="15.75" customHeight="1" s="114"/>
    <row r="631" ht="15.75" customHeight="1" s="114"/>
    <row r="632" ht="15.75" customHeight="1" s="114"/>
    <row r="633" ht="15.75" customHeight="1" s="114"/>
    <row r="634" ht="15.75" customHeight="1" s="114"/>
    <row r="635" ht="15.75" customHeight="1" s="114"/>
    <row r="636" ht="15.75" customHeight="1" s="114"/>
    <row r="637" ht="15.75" customHeight="1" s="114"/>
    <row r="638" ht="15.75" customHeight="1" s="114"/>
    <row r="639" ht="15.75" customHeight="1" s="114"/>
    <row r="640" ht="15.75" customHeight="1" s="114"/>
    <row r="641" ht="15.75" customHeight="1" s="114"/>
    <row r="642" ht="15.75" customHeight="1" s="114"/>
    <row r="643" ht="15.75" customHeight="1" s="114"/>
    <row r="644" ht="15.75" customHeight="1" s="114"/>
    <row r="645" ht="15.75" customHeight="1" s="114"/>
    <row r="646" ht="15.75" customHeight="1" s="114"/>
    <row r="647" ht="15.75" customHeight="1" s="114"/>
    <row r="648" ht="15.75" customHeight="1" s="114"/>
    <row r="649" ht="15.75" customHeight="1" s="114"/>
    <row r="650" ht="15.75" customHeight="1" s="114"/>
    <row r="651" ht="15.75" customHeight="1" s="114"/>
    <row r="652" ht="15.75" customHeight="1" s="114"/>
    <row r="653" ht="15.75" customHeight="1" s="114"/>
    <row r="654" ht="15.75" customHeight="1" s="114"/>
    <row r="655" ht="15.75" customHeight="1" s="114"/>
    <row r="656" ht="15.75" customHeight="1" s="114"/>
    <row r="657" ht="15.75" customHeight="1" s="114"/>
    <row r="658" ht="15.75" customHeight="1" s="114"/>
    <row r="659" ht="15.75" customHeight="1" s="114"/>
    <row r="660" ht="15.75" customHeight="1" s="114"/>
    <row r="661" ht="15.75" customHeight="1" s="114"/>
    <row r="662" ht="15.75" customHeight="1" s="114"/>
    <row r="663" ht="15.75" customHeight="1" s="114"/>
    <row r="664" ht="15.75" customHeight="1" s="114"/>
    <row r="665" ht="15.75" customHeight="1" s="114"/>
    <row r="666" ht="15.75" customHeight="1" s="114"/>
    <row r="667" ht="15.75" customHeight="1" s="114"/>
    <row r="668" ht="15.75" customHeight="1" s="114"/>
    <row r="669" ht="15.75" customHeight="1" s="114"/>
    <row r="670" ht="15.75" customHeight="1" s="114"/>
    <row r="671" ht="15.75" customHeight="1" s="114"/>
    <row r="672" ht="15.75" customHeight="1" s="114"/>
    <row r="673" ht="15.75" customHeight="1" s="114"/>
    <row r="674" ht="15.75" customHeight="1" s="114"/>
    <row r="675" ht="15.75" customHeight="1" s="114"/>
    <row r="676" ht="15.75" customHeight="1" s="114"/>
    <row r="677" ht="15.75" customHeight="1" s="114"/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mergeCells count="30">
    <mergeCell ref="F11:G11"/>
    <mergeCell ref="B16:C16"/>
    <mergeCell ref="D10:E10"/>
    <mergeCell ref="B7:C7"/>
    <mergeCell ref="F10:G10"/>
    <mergeCell ref="B23:G23"/>
    <mergeCell ref="F6:G6"/>
    <mergeCell ref="B13:G13"/>
    <mergeCell ref="B18:C18"/>
    <mergeCell ref="F7:G7"/>
    <mergeCell ref="D6:E6"/>
    <mergeCell ref="B21:C21"/>
    <mergeCell ref="B11:C11"/>
    <mergeCell ref="D11:E11"/>
    <mergeCell ref="F5:G5"/>
    <mergeCell ref="B14:C14"/>
    <mergeCell ref="B17:C17"/>
    <mergeCell ref="A3:H3"/>
    <mergeCell ref="D7:E7"/>
    <mergeCell ref="B19:C19"/>
    <mergeCell ref="A2:H2"/>
    <mergeCell ref="B10:C10"/>
    <mergeCell ref="B9:C9"/>
    <mergeCell ref="D9:E9"/>
    <mergeCell ref="F9:G9"/>
    <mergeCell ref="B6:C6"/>
    <mergeCell ref="B15:C15"/>
    <mergeCell ref="B5:C5"/>
    <mergeCell ref="B20:C20"/>
    <mergeCell ref="D5:E5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114" min="1" max="1"/>
    <col width="30" customWidth="1" style="114" min="2" max="2"/>
    <col width="8" customWidth="1" style="114" min="3" max="9"/>
    <col width="10" customWidth="1" style="114" min="10" max="10"/>
    <col width="8.710000000000001" customWidth="1" style="114" min="11" max="26"/>
  </cols>
  <sheetData>
    <row r="1" ht="36" customHeight="1" s="114">
      <c r="A1" s="150" t="inlineStr">
        <is>
          <t>VoiceForge — Weekly Build Schedule</t>
        </is>
      </c>
    </row>
    <row r="2" ht="18" customHeight="1" s="114">
      <c r="A2" s="151" t="inlineStr">
        <is>
          <t>Plan your weekly hours · Each cell = hours you'll work on that day · Adjust to your own pace</t>
        </is>
      </c>
    </row>
    <row r="4" ht="21.75" customHeight="1" s="114">
      <c r="B4" s="87" t="inlineStr">
        <is>
          <t>Phase / Task</t>
        </is>
      </c>
      <c r="C4" s="87" t="inlineStr">
        <is>
          <t>Mon</t>
        </is>
      </c>
      <c r="D4" s="87" t="inlineStr">
        <is>
          <t>Tue</t>
        </is>
      </c>
      <c r="E4" s="87" t="inlineStr">
        <is>
          <t>Wed</t>
        </is>
      </c>
      <c r="F4" s="87" t="inlineStr">
        <is>
          <t>Thu</t>
        </is>
      </c>
      <c r="G4" s="87" t="inlineStr">
        <is>
          <t>Fri</t>
        </is>
      </c>
      <c r="H4" s="87" t="inlineStr">
        <is>
          <t>Sat</t>
        </is>
      </c>
      <c r="I4" s="87" t="inlineStr">
        <is>
          <t>Sun</t>
        </is>
      </c>
      <c r="J4" s="87" t="inlineStr">
        <is>
          <t>Total Hrs</t>
        </is>
      </c>
    </row>
    <row r="5" ht="21.75" customHeight="1" s="114">
      <c r="B5" s="92" t="inlineStr">
        <is>
          <t>Phase 1 — Orpheus GPU Setup</t>
        </is>
      </c>
      <c r="C5" s="93" t="n">
        <v>1</v>
      </c>
      <c r="D5" s="93" t="n">
        <v>1</v>
      </c>
      <c r="E5" s="93" t="n">
        <v>1</v>
      </c>
      <c r="F5" s="93" t="n">
        <v>1</v>
      </c>
      <c r="G5" s="93" t="n">
        <v>0.5</v>
      </c>
      <c r="H5" s="93" t="n">
        <v>2</v>
      </c>
      <c r="I5" s="93" t="n">
        <v>1</v>
      </c>
      <c r="J5" s="94">
        <f>SUM(C5:I5)</f>
        <v/>
      </c>
    </row>
    <row r="6" ht="21.75" customHeight="1" s="114">
      <c r="B6" s="95" t="inlineStr">
        <is>
          <t>Phase 2 — FastAPI Wrapper</t>
        </is>
      </c>
      <c r="C6" s="96" t="n">
        <v>2</v>
      </c>
      <c r="D6" s="96" t="n">
        <v>2</v>
      </c>
      <c r="E6" s="96" t="n">
        <v>2</v>
      </c>
      <c r="F6" s="96" t="n">
        <v>2</v>
      </c>
      <c r="G6" s="96" t="n">
        <v>2</v>
      </c>
      <c r="H6" s="96" t="n">
        <v>3</v>
      </c>
      <c r="I6" s="96" t="n">
        <v>3</v>
      </c>
      <c r="J6" s="97">
        <f>SUM(C6:I6)</f>
        <v/>
      </c>
    </row>
    <row r="7" ht="21.75" customHeight="1" s="114">
      <c r="B7" s="98" t="inlineStr">
        <is>
          <t>Phase 3 — Express Backend</t>
        </is>
      </c>
      <c r="C7" s="99" t="n">
        <v>2</v>
      </c>
      <c r="D7" s="99" t="n">
        <v>2</v>
      </c>
      <c r="E7" s="99" t="n">
        <v>2</v>
      </c>
      <c r="F7" s="99" t="n">
        <v>2</v>
      </c>
      <c r="G7" s="99" t="n">
        <v>2</v>
      </c>
      <c r="H7" s="99" t="n">
        <v>3</v>
      </c>
      <c r="I7" s="99" t="n">
        <v>2</v>
      </c>
      <c r="J7" s="100">
        <f>SUM(C7:I7)</f>
        <v/>
      </c>
    </row>
    <row r="8" ht="21.75" customHeight="1" s="114">
      <c r="B8" s="101" t="inlineStr">
        <is>
          <t>Phase 4 — Next.js Frontend</t>
        </is>
      </c>
      <c r="C8" s="102" t="n">
        <v>2</v>
      </c>
      <c r="D8" s="102" t="n">
        <v>2</v>
      </c>
      <c r="E8" s="102" t="n">
        <v>2</v>
      </c>
      <c r="F8" s="102" t="n">
        <v>2</v>
      </c>
      <c r="G8" s="102" t="n">
        <v>2</v>
      </c>
      <c r="H8" s="102" t="n">
        <v>3</v>
      </c>
      <c r="I8" s="102" t="n">
        <v>2</v>
      </c>
      <c r="J8" s="103">
        <f>SUM(C8:I8)</f>
        <v/>
      </c>
    </row>
    <row r="9" ht="21.75" customHeight="1" s="114">
      <c r="B9" s="104" t="inlineStr">
        <is>
          <t>Phase 5 — Integration &amp; QA</t>
        </is>
      </c>
      <c r="C9" s="105" t="n">
        <v>1.5</v>
      </c>
      <c r="D9" s="105" t="n">
        <v>1.5</v>
      </c>
      <c r="E9" s="105" t="n">
        <v>1.5</v>
      </c>
      <c r="F9" s="105" t="n">
        <v>1.5</v>
      </c>
      <c r="G9" s="105" t="n">
        <v>1.5</v>
      </c>
      <c r="H9" s="105" t="n">
        <v>2.5</v>
      </c>
      <c r="I9" s="105" t="n">
        <v>2</v>
      </c>
      <c r="J9" s="106">
        <f>SUM(C9:I9)</f>
        <v/>
      </c>
    </row>
    <row r="10" ht="21.75" customHeight="1" s="114">
      <c r="B10" s="107" t="inlineStr">
        <is>
          <t>Phase 6 — Deployment</t>
        </is>
      </c>
      <c r="C10" s="108" t="n">
        <v>1.5</v>
      </c>
      <c r="D10" s="108" t="n">
        <v>1.5</v>
      </c>
      <c r="E10" s="108" t="n">
        <v>1.5</v>
      </c>
      <c r="F10" s="108" t="n">
        <v>1.5</v>
      </c>
      <c r="G10" s="108" t="n">
        <v>1</v>
      </c>
      <c r="H10" s="108" t="n">
        <v>2</v>
      </c>
      <c r="I10" s="108" t="n">
        <v>1.5</v>
      </c>
      <c r="J10" s="109">
        <f>SUM(C10:I10)</f>
        <v/>
      </c>
    </row>
    <row r="11" ht="24" customHeight="1" s="114">
      <c r="B11" s="110" t="inlineStr">
        <is>
          <t>TOTAL HOURS / DAY</t>
        </is>
      </c>
      <c r="C11" s="111">
        <f>SUM(C5:C10)</f>
        <v/>
      </c>
      <c r="D11" s="111">
        <f>SUM(D5:D10)</f>
        <v/>
      </c>
      <c r="E11" s="111">
        <f>SUM(E5:E10)</f>
        <v/>
      </c>
      <c r="F11" s="111">
        <f>SUM(F5:F10)</f>
        <v/>
      </c>
      <c r="G11" s="111">
        <f>SUM(G5:G10)</f>
        <v/>
      </c>
      <c r="H11" s="111">
        <f>SUM(H5:H10)</f>
        <v/>
      </c>
      <c r="I11" s="111">
        <f>SUM(I5:I10)</f>
        <v/>
      </c>
      <c r="J11" s="112">
        <f>SUM(J5:J10)</f>
        <v/>
      </c>
    </row>
    <row r="13" ht="30" customHeight="1" s="114">
      <c r="B13" s="152" t="inlineStr">
        <is>
          <t>Tips: Phase 1 is mostly complete — you already have Orpheus running with emotion tags. Phase 2 (FastAPI wrapper) is the next big task. Total ~105hrs ≈ 4-5 weeks part-time.</t>
        </is>
      </c>
    </row>
    <row r="21" ht="15.75" customHeight="1" s="114"/>
    <row r="22" ht="15.75" customHeight="1" s="114"/>
    <row r="23" ht="15.75" customHeight="1" s="114"/>
    <row r="24" ht="15.75" customHeight="1" s="114"/>
    <row r="25" ht="15.75" customHeight="1" s="114"/>
    <row r="26" ht="15.75" customHeight="1" s="114"/>
    <row r="27" ht="15.75" customHeight="1" s="114"/>
    <row r="28" ht="15.75" customHeight="1" s="114"/>
    <row r="29" ht="15.75" customHeight="1" s="114"/>
    <row r="30" ht="15.75" customHeight="1" s="114"/>
    <row r="31" ht="15.75" customHeight="1" s="114"/>
    <row r="32" ht="15.75" customHeight="1" s="114"/>
    <row r="33" ht="15.75" customHeight="1" s="114"/>
    <row r="34" ht="15.75" customHeight="1" s="114"/>
    <row r="35" ht="15.75" customHeight="1" s="114"/>
    <row r="36" ht="15.75" customHeight="1" s="114"/>
    <row r="37" ht="15.75" customHeight="1" s="114"/>
    <row r="38" ht="15.75" customHeight="1" s="114"/>
    <row r="39" ht="15.75" customHeight="1" s="114"/>
    <row r="40" ht="15.75" customHeight="1" s="114"/>
    <row r="41" ht="15.75" customHeight="1" s="114"/>
    <row r="42" ht="15.75" customHeight="1" s="114"/>
    <row r="43" ht="15.75" customHeight="1" s="114"/>
    <row r="44" ht="15.75" customHeight="1" s="114"/>
    <row r="45" ht="15.75" customHeight="1" s="114"/>
    <row r="46" ht="15.75" customHeight="1" s="114"/>
    <row r="47" ht="15.75" customHeight="1" s="114"/>
    <row r="48" ht="15.75" customHeight="1" s="114"/>
    <row r="49" ht="15.75" customHeight="1" s="114"/>
    <row r="50" ht="15.75" customHeight="1" s="114"/>
    <row r="51" ht="15.75" customHeight="1" s="114"/>
    <row r="52" ht="15.75" customHeight="1" s="114"/>
    <row r="53" ht="15.75" customHeight="1" s="114"/>
    <row r="54" ht="15.75" customHeight="1" s="114"/>
    <row r="55" ht="15.75" customHeight="1" s="114"/>
    <row r="56" ht="15.75" customHeight="1" s="114"/>
    <row r="57" ht="15.75" customHeight="1" s="114"/>
    <row r="58" ht="15.75" customHeight="1" s="114"/>
    <row r="59" ht="15.75" customHeight="1" s="114"/>
    <row r="60" ht="15.75" customHeight="1" s="114"/>
    <row r="61" ht="15.75" customHeight="1" s="114"/>
    <row r="62" ht="15.75" customHeight="1" s="114"/>
    <row r="63" ht="15.75" customHeight="1" s="114"/>
    <row r="64" ht="15.75" customHeight="1" s="114"/>
    <row r="65" ht="15.75" customHeight="1" s="114"/>
    <row r="66" ht="15.75" customHeight="1" s="114"/>
    <row r="67" ht="15.75" customHeight="1" s="114"/>
    <row r="68" ht="15.75" customHeight="1" s="114"/>
    <row r="69" ht="15.75" customHeight="1" s="114"/>
    <row r="70" ht="15.75" customHeight="1" s="114"/>
    <row r="71" ht="15.75" customHeight="1" s="114"/>
    <row r="72" ht="15.75" customHeight="1" s="114"/>
    <row r="73" ht="15.75" customHeight="1" s="114"/>
    <row r="74" ht="15.75" customHeight="1" s="114"/>
    <row r="75" ht="15.75" customHeight="1" s="114"/>
    <row r="76" ht="15.75" customHeight="1" s="114"/>
    <row r="77" ht="15.75" customHeight="1" s="114"/>
    <row r="78" ht="15.75" customHeight="1" s="114"/>
    <row r="79" ht="15.75" customHeight="1" s="114"/>
    <row r="80" ht="15.75" customHeight="1" s="114"/>
    <row r="81" ht="15.75" customHeight="1" s="114"/>
    <row r="82" ht="15.75" customHeight="1" s="114"/>
    <row r="83" ht="15.75" customHeight="1" s="114"/>
    <row r="84" ht="15.75" customHeight="1" s="114"/>
    <row r="85" ht="15.75" customHeight="1" s="114"/>
    <row r="86" ht="15.75" customHeight="1" s="114"/>
    <row r="87" ht="15.75" customHeight="1" s="114"/>
    <row r="88" ht="15.75" customHeight="1" s="114"/>
    <row r="89" ht="15.75" customHeight="1" s="114"/>
    <row r="90" ht="15.75" customHeight="1" s="114"/>
    <row r="91" ht="15.75" customHeight="1" s="114"/>
    <row r="92" ht="15.75" customHeight="1" s="114"/>
    <row r="93" ht="15.75" customHeight="1" s="114"/>
    <row r="94" ht="15.75" customHeight="1" s="114"/>
    <row r="95" ht="15.75" customHeight="1" s="114"/>
    <row r="96" ht="15.75" customHeight="1" s="114"/>
    <row r="97" ht="15.75" customHeight="1" s="114"/>
    <row r="98" ht="15.75" customHeight="1" s="114"/>
    <row r="99" ht="15.75" customHeight="1" s="114"/>
    <row r="100" ht="15.75" customHeight="1" s="114"/>
    <row r="101" ht="15.75" customHeight="1" s="114"/>
    <row r="102" ht="15.75" customHeight="1" s="114"/>
    <row r="103" ht="15.75" customHeight="1" s="114"/>
    <row r="104" ht="15.75" customHeight="1" s="114"/>
    <row r="105" ht="15.75" customHeight="1" s="114"/>
    <row r="106" ht="15.75" customHeight="1" s="114"/>
    <row r="107" ht="15.75" customHeight="1" s="114"/>
    <row r="108" ht="15.75" customHeight="1" s="114"/>
    <row r="109" ht="15.75" customHeight="1" s="114"/>
    <row r="110" ht="15.75" customHeight="1" s="114"/>
    <row r="111" ht="15.75" customHeight="1" s="114"/>
    <row r="112" ht="15.75" customHeight="1" s="114"/>
    <row r="113" ht="15.75" customHeight="1" s="114"/>
    <row r="114" ht="15.75" customHeight="1" s="114"/>
    <row r="115" ht="15.75" customHeight="1" s="114"/>
    <row r="116" ht="15.75" customHeight="1" s="114"/>
    <row r="117" ht="15.75" customHeight="1" s="114"/>
    <row r="118" ht="15.75" customHeight="1" s="114"/>
    <row r="119" ht="15.75" customHeight="1" s="114"/>
    <row r="120" ht="15.75" customHeight="1" s="114"/>
    <row r="121" ht="15.75" customHeight="1" s="114"/>
    <row r="122" ht="15.75" customHeight="1" s="114"/>
    <row r="123" ht="15.75" customHeight="1" s="114"/>
    <row r="124" ht="15.75" customHeight="1" s="114"/>
    <row r="125" ht="15.75" customHeight="1" s="114"/>
    <row r="126" ht="15.75" customHeight="1" s="114"/>
    <row r="127" ht="15.75" customHeight="1" s="114"/>
    <row r="128" ht="15.75" customHeight="1" s="114"/>
    <row r="129" ht="15.75" customHeight="1" s="114"/>
    <row r="130" ht="15.75" customHeight="1" s="114"/>
    <row r="131" ht="15.75" customHeight="1" s="114"/>
    <row r="132" ht="15.75" customHeight="1" s="114"/>
    <row r="133" ht="15.75" customHeight="1" s="114"/>
    <row r="134" ht="15.75" customHeight="1" s="114"/>
    <row r="135" ht="15.75" customHeight="1" s="114"/>
    <row r="136" ht="15.75" customHeight="1" s="114"/>
    <row r="137" ht="15.75" customHeight="1" s="114"/>
    <row r="138" ht="15.75" customHeight="1" s="114"/>
    <row r="139" ht="15.75" customHeight="1" s="114"/>
    <row r="140" ht="15.75" customHeight="1" s="114"/>
    <row r="141" ht="15.75" customHeight="1" s="114"/>
    <row r="142" ht="15.75" customHeight="1" s="114"/>
    <row r="143" ht="15.75" customHeight="1" s="114"/>
    <row r="144" ht="15.75" customHeight="1" s="114"/>
    <row r="145" ht="15.75" customHeight="1" s="114"/>
    <row r="146" ht="15.75" customHeight="1" s="114"/>
    <row r="147" ht="15.75" customHeight="1" s="114"/>
    <row r="148" ht="15.75" customHeight="1" s="114"/>
    <row r="149" ht="15.75" customHeight="1" s="114"/>
    <row r="150" ht="15.75" customHeight="1" s="114"/>
    <row r="151" ht="15.75" customHeight="1" s="114"/>
    <row r="152" ht="15.75" customHeight="1" s="114"/>
    <row r="153" ht="15.75" customHeight="1" s="114"/>
    <row r="154" ht="15.75" customHeight="1" s="114"/>
    <row r="155" ht="15.75" customHeight="1" s="114"/>
    <row r="156" ht="15.75" customHeight="1" s="114"/>
    <row r="157" ht="15.75" customHeight="1" s="114"/>
    <row r="158" ht="15.75" customHeight="1" s="114"/>
    <row r="159" ht="15.75" customHeight="1" s="114"/>
    <row r="160" ht="15.75" customHeight="1" s="114"/>
    <row r="161" ht="15.75" customHeight="1" s="114"/>
    <row r="162" ht="15.75" customHeight="1" s="114"/>
    <row r="163" ht="15.75" customHeight="1" s="114"/>
    <row r="164" ht="15.75" customHeight="1" s="114"/>
    <row r="165" ht="15.75" customHeight="1" s="114"/>
    <row r="166" ht="15.75" customHeight="1" s="114"/>
    <row r="167" ht="15.75" customHeight="1" s="114"/>
    <row r="168" ht="15.75" customHeight="1" s="114"/>
    <row r="169" ht="15.75" customHeight="1" s="114"/>
    <row r="170" ht="15.75" customHeight="1" s="114"/>
    <row r="171" ht="15.75" customHeight="1" s="114"/>
    <row r="172" ht="15.75" customHeight="1" s="114"/>
    <row r="173" ht="15.75" customHeight="1" s="114"/>
    <row r="174" ht="15.75" customHeight="1" s="114"/>
    <row r="175" ht="15.75" customHeight="1" s="114"/>
    <row r="176" ht="15.75" customHeight="1" s="114"/>
    <row r="177" ht="15.75" customHeight="1" s="114"/>
    <row r="178" ht="15.75" customHeight="1" s="114"/>
    <row r="179" ht="15.75" customHeight="1" s="114"/>
    <row r="180" ht="15.75" customHeight="1" s="114"/>
    <row r="181" ht="15.75" customHeight="1" s="114"/>
    <row r="182" ht="15.75" customHeight="1" s="114"/>
    <row r="183" ht="15.75" customHeight="1" s="114"/>
    <row r="184" ht="15.75" customHeight="1" s="114"/>
    <row r="185" ht="15.75" customHeight="1" s="114"/>
    <row r="186" ht="15.75" customHeight="1" s="114"/>
    <row r="187" ht="15.75" customHeight="1" s="114"/>
    <row r="188" ht="15.75" customHeight="1" s="114"/>
    <row r="189" ht="15.75" customHeight="1" s="114"/>
    <row r="190" ht="15.75" customHeight="1" s="114"/>
    <row r="191" ht="15.75" customHeight="1" s="114"/>
    <row r="192" ht="15.75" customHeight="1" s="114"/>
    <row r="193" ht="15.75" customHeight="1" s="114"/>
    <row r="194" ht="15.75" customHeight="1" s="114"/>
    <row r="195" ht="15.75" customHeight="1" s="114"/>
    <row r="196" ht="15.75" customHeight="1" s="114"/>
    <row r="197" ht="15.75" customHeight="1" s="114"/>
    <row r="198" ht="15.75" customHeight="1" s="114"/>
    <row r="199" ht="15.75" customHeight="1" s="114"/>
    <row r="200" ht="15.75" customHeight="1" s="114"/>
    <row r="201" ht="15.75" customHeight="1" s="114"/>
    <row r="202" ht="15.75" customHeight="1" s="114"/>
    <row r="203" ht="15.75" customHeight="1" s="114"/>
    <row r="204" ht="15.75" customHeight="1" s="114"/>
    <row r="205" ht="15.75" customHeight="1" s="114"/>
    <row r="206" ht="15.75" customHeight="1" s="114"/>
    <row r="207" ht="15.75" customHeight="1" s="114"/>
    <row r="208" ht="15.75" customHeight="1" s="114"/>
    <row r="209" ht="15.75" customHeight="1" s="114"/>
    <row r="210" ht="15.75" customHeight="1" s="114"/>
    <row r="211" ht="15.75" customHeight="1" s="114"/>
    <row r="212" ht="15.75" customHeight="1" s="114"/>
    <row r="213" ht="15.75" customHeight="1" s="114"/>
    <row r="214" ht="15.75" customHeight="1" s="114"/>
    <row r="215" ht="15.75" customHeight="1" s="114"/>
    <row r="216" ht="15.75" customHeight="1" s="114"/>
    <row r="217" ht="15.75" customHeight="1" s="114"/>
    <row r="218" ht="15.75" customHeight="1" s="114"/>
    <row r="219" ht="15.75" customHeight="1" s="114"/>
    <row r="220" ht="15.75" customHeight="1" s="114"/>
    <row r="221" ht="15.75" customHeight="1" s="114"/>
    <row r="222" ht="15.75" customHeight="1" s="114"/>
    <row r="223" ht="15.75" customHeight="1" s="114"/>
    <row r="224" ht="15.75" customHeight="1" s="114"/>
    <row r="225" ht="15.75" customHeight="1" s="114"/>
    <row r="226" ht="15.75" customHeight="1" s="114"/>
    <row r="227" ht="15.75" customHeight="1" s="114"/>
    <row r="228" ht="15.75" customHeight="1" s="114"/>
    <row r="229" ht="15.75" customHeight="1" s="114"/>
    <row r="230" ht="15.75" customHeight="1" s="114"/>
    <row r="231" ht="15.75" customHeight="1" s="114"/>
    <row r="232" ht="15.75" customHeight="1" s="114"/>
    <row r="233" ht="15.75" customHeight="1" s="114"/>
    <row r="234" ht="15.75" customHeight="1" s="114"/>
    <row r="235" ht="15.75" customHeight="1" s="114"/>
    <row r="236" ht="15.75" customHeight="1" s="114"/>
    <row r="237" ht="15.75" customHeight="1" s="114"/>
    <row r="238" ht="15.75" customHeight="1" s="114"/>
    <row r="239" ht="15.75" customHeight="1" s="114"/>
    <row r="240" ht="15.75" customHeight="1" s="114"/>
    <row r="241" ht="15.75" customHeight="1" s="114"/>
    <row r="242" ht="15.75" customHeight="1" s="114"/>
    <row r="243" ht="15.75" customHeight="1" s="114"/>
    <row r="244" ht="15.75" customHeight="1" s="114"/>
    <row r="245" ht="15.75" customHeight="1" s="114"/>
    <row r="246" ht="15.75" customHeight="1" s="114"/>
    <row r="247" ht="15.75" customHeight="1" s="114"/>
    <row r="248" ht="15.75" customHeight="1" s="114"/>
    <row r="249" ht="15.75" customHeight="1" s="114"/>
    <row r="250" ht="15.75" customHeight="1" s="114"/>
    <row r="251" ht="15.75" customHeight="1" s="114"/>
    <row r="252" ht="15.75" customHeight="1" s="114"/>
    <row r="253" ht="15.75" customHeight="1" s="114"/>
    <row r="254" ht="15.75" customHeight="1" s="114"/>
    <row r="255" ht="15.75" customHeight="1" s="114"/>
    <row r="256" ht="15.75" customHeight="1" s="114"/>
    <row r="257" ht="15.75" customHeight="1" s="114"/>
    <row r="258" ht="15.75" customHeight="1" s="114"/>
    <row r="259" ht="15.75" customHeight="1" s="114"/>
    <row r="260" ht="15.75" customHeight="1" s="114"/>
    <row r="261" ht="15.75" customHeight="1" s="114"/>
    <row r="262" ht="15.75" customHeight="1" s="114"/>
    <row r="263" ht="15.75" customHeight="1" s="114"/>
    <row r="264" ht="15.75" customHeight="1" s="114"/>
    <row r="265" ht="15.75" customHeight="1" s="114"/>
    <row r="266" ht="15.75" customHeight="1" s="114"/>
    <row r="267" ht="15.75" customHeight="1" s="114"/>
    <row r="268" ht="15.75" customHeight="1" s="114"/>
    <row r="269" ht="15.75" customHeight="1" s="114"/>
    <row r="270" ht="15.75" customHeight="1" s="114"/>
    <row r="271" ht="15.75" customHeight="1" s="114"/>
    <row r="272" ht="15.75" customHeight="1" s="114"/>
    <row r="273" ht="15.75" customHeight="1" s="114"/>
    <row r="274" ht="15.75" customHeight="1" s="114"/>
    <row r="275" ht="15.75" customHeight="1" s="114"/>
    <row r="276" ht="15.75" customHeight="1" s="114"/>
    <row r="277" ht="15.75" customHeight="1" s="114"/>
    <row r="278" ht="15.75" customHeight="1" s="114"/>
    <row r="279" ht="15.75" customHeight="1" s="114"/>
    <row r="280" ht="15.75" customHeight="1" s="114"/>
    <row r="281" ht="15.75" customHeight="1" s="114"/>
    <row r="282" ht="15.75" customHeight="1" s="114"/>
    <row r="283" ht="15.75" customHeight="1" s="114"/>
    <row r="284" ht="15.75" customHeight="1" s="114"/>
    <row r="285" ht="15.75" customHeight="1" s="114"/>
    <row r="286" ht="15.75" customHeight="1" s="114"/>
    <row r="287" ht="15.75" customHeight="1" s="114"/>
    <row r="288" ht="15.75" customHeight="1" s="114"/>
    <row r="289" ht="15.75" customHeight="1" s="114"/>
    <row r="290" ht="15.75" customHeight="1" s="114"/>
    <row r="291" ht="15.75" customHeight="1" s="114"/>
    <row r="292" ht="15.75" customHeight="1" s="114"/>
    <row r="293" ht="15.75" customHeight="1" s="114"/>
    <row r="294" ht="15.75" customHeight="1" s="114"/>
    <row r="295" ht="15.75" customHeight="1" s="114"/>
    <row r="296" ht="15.75" customHeight="1" s="114"/>
    <row r="297" ht="15.75" customHeight="1" s="114"/>
    <row r="298" ht="15.75" customHeight="1" s="114"/>
    <row r="299" ht="15.75" customHeight="1" s="114"/>
    <row r="300" ht="15.75" customHeight="1" s="114"/>
    <row r="301" ht="15.75" customHeight="1" s="114"/>
    <row r="302" ht="15.75" customHeight="1" s="114"/>
    <row r="303" ht="15.75" customHeight="1" s="114"/>
    <row r="304" ht="15.75" customHeight="1" s="114"/>
    <row r="305" ht="15.75" customHeight="1" s="114"/>
    <row r="306" ht="15.75" customHeight="1" s="114"/>
    <row r="307" ht="15.75" customHeight="1" s="114"/>
    <row r="308" ht="15.75" customHeight="1" s="114"/>
    <row r="309" ht="15.75" customHeight="1" s="114"/>
    <row r="310" ht="15.75" customHeight="1" s="114"/>
    <row r="311" ht="15.75" customHeight="1" s="114"/>
    <row r="312" ht="15.75" customHeight="1" s="114"/>
    <row r="313" ht="15.75" customHeight="1" s="114"/>
    <row r="314" ht="15.75" customHeight="1" s="114"/>
    <row r="315" ht="15.75" customHeight="1" s="114"/>
    <row r="316" ht="15.75" customHeight="1" s="114"/>
    <row r="317" ht="15.75" customHeight="1" s="114"/>
    <row r="318" ht="15.75" customHeight="1" s="114"/>
    <row r="319" ht="15.75" customHeight="1" s="114"/>
    <row r="320" ht="15.75" customHeight="1" s="114"/>
    <row r="321" ht="15.75" customHeight="1" s="114"/>
    <row r="322" ht="15.75" customHeight="1" s="114"/>
    <row r="323" ht="15.75" customHeight="1" s="114"/>
    <row r="324" ht="15.75" customHeight="1" s="114"/>
    <row r="325" ht="15.75" customHeight="1" s="114"/>
    <row r="326" ht="15.75" customHeight="1" s="114"/>
    <row r="327" ht="15.75" customHeight="1" s="114"/>
    <row r="328" ht="15.75" customHeight="1" s="114"/>
    <row r="329" ht="15.75" customHeight="1" s="114"/>
    <row r="330" ht="15.75" customHeight="1" s="114"/>
    <row r="331" ht="15.75" customHeight="1" s="114"/>
    <row r="332" ht="15.75" customHeight="1" s="114"/>
    <row r="333" ht="15.75" customHeight="1" s="114"/>
    <row r="334" ht="15.75" customHeight="1" s="114"/>
    <row r="335" ht="15.75" customHeight="1" s="114"/>
    <row r="336" ht="15.75" customHeight="1" s="114"/>
    <row r="337" ht="15.75" customHeight="1" s="114"/>
    <row r="338" ht="15.75" customHeight="1" s="114"/>
    <row r="339" ht="15.75" customHeight="1" s="114"/>
    <row r="340" ht="15.75" customHeight="1" s="114"/>
    <row r="341" ht="15.75" customHeight="1" s="114"/>
    <row r="342" ht="15.75" customHeight="1" s="114"/>
    <row r="343" ht="15.75" customHeight="1" s="114"/>
    <row r="344" ht="15.75" customHeight="1" s="114"/>
    <row r="345" ht="15.75" customHeight="1" s="114"/>
    <row r="346" ht="15.75" customHeight="1" s="114"/>
    <row r="347" ht="15.75" customHeight="1" s="114"/>
    <row r="348" ht="15.75" customHeight="1" s="114"/>
    <row r="349" ht="15.75" customHeight="1" s="114"/>
    <row r="350" ht="15.75" customHeight="1" s="114"/>
    <row r="351" ht="15.75" customHeight="1" s="114"/>
    <row r="352" ht="15.75" customHeight="1" s="114"/>
    <row r="353" ht="15.75" customHeight="1" s="114"/>
    <row r="354" ht="15.75" customHeight="1" s="114"/>
    <row r="355" ht="15.75" customHeight="1" s="114"/>
    <row r="356" ht="15.75" customHeight="1" s="114"/>
    <row r="357" ht="15.75" customHeight="1" s="114"/>
    <row r="358" ht="15.75" customHeight="1" s="114"/>
    <row r="359" ht="15.75" customHeight="1" s="114"/>
    <row r="360" ht="15.75" customHeight="1" s="114"/>
    <row r="361" ht="15.75" customHeight="1" s="114"/>
    <row r="362" ht="15.75" customHeight="1" s="114"/>
    <row r="363" ht="15.75" customHeight="1" s="114"/>
    <row r="364" ht="15.75" customHeight="1" s="114"/>
    <row r="365" ht="15.75" customHeight="1" s="114"/>
    <row r="366" ht="15.75" customHeight="1" s="114"/>
    <row r="367" ht="15.75" customHeight="1" s="114"/>
    <row r="368" ht="15.75" customHeight="1" s="114"/>
    <row r="369" ht="15.75" customHeight="1" s="114"/>
    <row r="370" ht="15.75" customHeight="1" s="114"/>
    <row r="371" ht="15.75" customHeight="1" s="114"/>
    <row r="372" ht="15.75" customHeight="1" s="114"/>
    <row r="373" ht="15.75" customHeight="1" s="114"/>
    <row r="374" ht="15.75" customHeight="1" s="114"/>
    <row r="375" ht="15.75" customHeight="1" s="114"/>
    <row r="376" ht="15.75" customHeight="1" s="114"/>
    <row r="377" ht="15.75" customHeight="1" s="114"/>
    <row r="378" ht="15.75" customHeight="1" s="114"/>
    <row r="379" ht="15.75" customHeight="1" s="114"/>
    <row r="380" ht="15.75" customHeight="1" s="114"/>
    <row r="381" ht="15.75" customHeight="1" s="114"/>
    <row r="382" ht="15.75" customHeight="1" s="114"/>
    <row r="383" ht="15.75" customHeight="1" s="114"/>
    <row r="384" ht="15.75" customHeight="1" s="114"/>
    <row r="385" ht="15.75" customHeight="1" s="114"/>
    <row r="386" ht="15.75" customHeight="1" s="114"/>
    <row r="387" ht="15.75" customHeight="1" s="114"/>
    <row r="388" ht="15.75" customHeight="1" s="114"/>
    <row r="389" ht="15.75" customHeight="1" s="114"/>
    <row r="390" ht="15.75" customHeight="1" s="114"/>
    <row r="391" ht="15.75" customHeight="1" s="114"/>
    <row r="392" ht="15.75" customHeight="1" s="114"/>
    <row r="393" ht="15.75" customHeight="1" s="114"/>
    <row r="394" ht="15.75" customHeight="1" s="114"/>
    <row r="395" ht="15.75" customHeight="1" s="114"/>
    <row r="396" ht="15.75" customHeight="1" s="114"/>
    <row r="397" ht="15.75" customHeight="1" s="114"/>
    <row r="398" ht="15.75" customHeight="1" s="114"/>
    <row r="399" ht="15.75" customHeight="1" s="114"/>
    <row r="400" ht="15.75" customHeight="1" s="114"/>
    <row r="401" ht="15.75" customHeight="1" s="114"/>
    <row r="402" ht="15.75" customHeight="1" s="114"/>
    <row r="403" ht="15.75" customHeight="1" s="114"/>
    <row r="404" ht="15.75" customHeight="1" s="114"/>
    <row r="405" ht="15.75" customHeight="1" s="114"/>
    <row r="406" ht="15.75" customHeight="1" s="114"/>
    <row r="407" ht="15.75" customHeight="1" s="114"/>
    <row r="408" ht="15.75" customHeight="1" s="114"/>
    <row r="409" ht="15.75" customHeight="1" s="114"/>
    <row r="410" ht="15.75" customHeight="1" s="114"/>
    <row r="411" ht="15.75" customHeight="1" s="114"/>
    <row r="412" ht="15.75" customHeight="1" s="114"/>
    <row r="413" ht="15.75" customHeight="1" s="114"/>
    <row r="414" ht="15.75" customHeight="1" s="114"/>
    <row r="415" ht="15.75" customHeight="1" s="114"/>
    <row r="416" ht="15.75" customHeight="1" s="114"/>
    <row r="417" ht="15.75" customHeight="1" s="114"/>
    <row r="418" ht="15.75" customHeight="1" s="114"/>
    <row r="419" ht="15.75" customHeight="1" s="114"/>
    <row r="420" ht="15.75" customHeight="1" s="114"/>
    <row r="421" ht="15.75" customHeight="1" s="114"/>
    <row r="422" ht="15.75" customHeight="1" s="114"/>
    <row r="423" ht="15.75" customHeight="1" s="114"/>
    <row r="424" ht="15.75" customHeight="1" s="114"/>
    <row r="425" ht="15.75" customHeight="1" s="114"/>
    <row r="426" ht="15.75" customHeight="1" s="114"/>
    <row r="427" ht="15.75" customHeight="1" s="114"/>
    <row r="428" ht="15.75" customHeight="1" s="114"/>
    <row r="429" ht="15.75" customHeight="1" s="114"/>
    <row r="430" ht="15.75" customHeight="1" s="114"/>
    <row r="431" ht="15.75" customHeight="1" s="114"/>
    <row r="432" ht="15.75" customHeight="1" s="114"/>
    <row r="433" ht="15.75" customHeight="1" s="114"/>
    <row r="434" ht="15.75" customHeight="1" s="114"/>
    <row r="435" ht="15.75" customHeight="1" s="114"/>
    <row r="436" ht="15.75" customHeight="1" s="114"/>
    <row r="437" ht="15.75" customHeight="1" s="114"/>
    <row r="438" ht="15.75" customHeight="1" s="114"/>
    <row r="439" ht="15.75" customHeight="1" s="114"/>
    <row r="440" ht="15.75" customHeight="1" s="114"/>
    <row r="441" ht="15.75" customHeight="1" s="114"/>
    <row r="442" ht="15.75" customHeight="1" s="114"/>
    <row r="443" ht="15.75" customHeight="1" s="114"/>
    <row r="444" ht="15.75" customHeight="1" s="114"/>
    <row r="445" ht="15.75" customHeight="1" s="114"/>
    <row r="446" ht="15.75" customHeight="1" s="114"/>
    <row r="447" ht="15.75" customHeight="1" s="114"/>
    <row r="448" ht="15.75" customHeight="1" s="114"/>
    <row r="449" ht="15.75" customHeight="1" s="114"/>
    <row r="450" ht="15.75" customHeight="1" s="114"/>
    <row r="451" ht="15.75" customHeight="1" s="114"/>
    <row r="452" ht="15.75" customHeight="1" s="114"/>
    <row r="453" ht="15.75" customHeight="1" s="114"/>
    <row r="454" ht="15.75" customHeight="1" s="114"/>
    <row r="455" ht="15.75" customHeight="1" s="114"/>
    <row r="456" ht="15.75" customHeight="1" s="114"/>
    <row r="457" ht="15.75" customHeight="1" s="114"/>
    <row r="458" ht="15.75" customHeight="1" s="114"/>
    <row r="459" ht="15.75" customHeight="1" s="114"/>
    <row r="460" ht="15.75" customHeight="1" s="114"/>
    <row r="461" ht="15.75" customHeight="1" s="114"/>
    <row r="462" ht="15.75" customHeight="1" s="114"/>
    <row r="463" ht="15.75" customHeight="1" s="114"/>
    <row r="464" ht="15.75" customHeight="1" s="114"/>
    <row r="465" ht="15.75" customHeight="1" s="114"/>
    <row r="466" ht="15.75" customHeight="1" s="114"/>
    <row r="467" ht="15.75" customHeight="1" s="114"/>
    <row r="468" ht="15.75" customHeight="1" s="114"/>
    <row r="469" ht="15.75" customHeight="1" s="114"/>
    <row r="470" ht="15.75" customHeight="1" s="114"/>
    <row r="471" ht="15.75" customHeight="1" s="114"/>
    <row r="472" ht="15.75" customHeight="1" s="114"/>
    <row r="473" ht="15.75" customHeight="1" s="114"/>
    <row r="474" ht="15.75" customHeight="1" s="114"/>
    <row r="475" ht="15.75" customHeight="1" s="114"/>
    <row r="476" ht="15.75" customHeight="1" s="114"/>
    <row r="477" ht="15.75" customHeight="1" s="114"/>
    <row r="478" ht="15.75" customHeight="1" s="114"/>
    <row r="479" ht="15.75" customHeight="1" s="114"/>
    <row r="480" ht="15.75" customHeight="1" s="114"/>
    <row r="481" ht="15.75" customHeight="1" s="114"/>
    <row r="482" ht="15.75" customHeight="1" s="114"/>
    <row r="483" ht="15.75" customHeight="1" s="114"/>
    <row r="484" ht="15.75" customHeight="1" s="114"/>
    <row r="485" ht="15.75" customHeight="1" s="114"/>
    <row r="486" ht="15.75" customHeight="1" s="114"/>
    <row r="487" ht="15.75" customHeight="1" s="114"/>
    <row r="488" ht="15.75" customHeight="1" s="114"/>
    <row r="489" ht="15.75" customHeight="1" s="114"/>
    <row r="490" ht="15.75" customHeight="1" s="114"/>
    <row r="491" ht="15.75" customHeight="1" s="114"/>
    <row r="492" ht="15.75" customHeight="1" s="114"/>
    <row r="493" ht="15.75" customHeight="1" s="114"/>
    <row r="494" ht="15.75" customHeight="1" s="114"/>
    <row r="495" ht="15.75" customHeight="1" s="114"/>
    <row r="496" ht="15.75" customHeight="1" s="114"/>
    <row r="497" ht="15.75" customHeight="1" s="114"/>
    <row r="498" ht="15.75" customHeight="1" s="114"/>
    <row r="499" ht="15.75" customHeight="1" s="114"/>
    <row r="500" ht="15.75" customHeight="1" s="114"/>
    <row r="501" ht="15.75" customHeight="1" s="114"/>
    <row r="502" ht="15.75" customHeight="1" s="114"/>
    <row r="503" ht="15.75" customHeight="1" s="114"/>
    <row r="504" ht="15.75" customHeight="1" s="114"/>
    <row r="505" ht="15.75" customHeight="1" s="114"/>
    <row r="506" ht="15.75" customHeight="1" s="114"/>
    <row r="507" ht="15.75" customHeight="1" s="114"/>
    <row r="508" ht="15.75" customHeight="1" s="114"/>
    <row r="509" ht="15.75" customHeight="1" s="114"/>
    <row r="510" ht="15.75" customHeight="1" s="114"/>
    <row r="511" ht="15.75" customHeight="1" s="114"/>
    <row r="512" ht="15.75" customHeight="1" s="114"/>
    <row r="513" ht="15.75" customHeight="1" s="114"/>
    <row r="514" ht="15.75" customHeight="1" s="114"/>
    <row r="515" ht="15.75" customHeight="1" s="114"/>
    <row r="516" ht="15.75" customHeight="1" s="114"/>
    <row r="517" ht="15.75" customHeight="1" s="114"/>
    <row r="518" ht="15.75" customHeight="1" s="114"/>
    <row r="519" ht="15.75" customHeight="1" s="114"/>
    <row r="520" ht="15.75" customHeight="1" s="114"/>
    <row r="521" ht="15.75" customHeight="1" s="114"/>
    <row r="522" ht="15.75" customHeight="1" s="114"/>
    <row r="523" ht="15.75" customHeight="1" s="114"/>
    <row r="524" ht="15.75" customHeight="1" s="114"/>
    <row r="525" ht="15.75" customHeight="1" s="114"/>
    <row r="526" ht="15.75" customHeight="1" s="114"/>
    <row r="527" ht="15.75" customHeight="1" s="114"/>
    <row r="528" ht="15.75" customHeight="1" s="114"/>
    <row r="529" ht="15.75" customHeight="1" s="114"/>
    <row r="530" ht="15.75" customHeight="1" s="114"/>
    <row r="531" ht="15.75" customHeight="1" s="114"/>
    <row r="532" ht="15.75" customHeight="1" s="114"/>
    <row r="533" ht="15.75" customHeight="1" s="114"/>
    <row r="534" ht="15.75" customHeight="1" s="114"/>
    <row r="535" ht="15.75" customHeight="1" s="114"/>
    <row r="536" ht="15.75" customHeight="1" s="114"/>
    <row r="537" ht="15.75" customHeight="1" s="114"/>
    <row r="538" ht="15.75" customHeight="1" s="114"/>
    <row r="539" ht="15.75" customHeight="1" s="114"/>
    <row r="540" ht="15.75" customHeight="1" s="114"/>
    <row r="541" ht="15.75" customHeight="1" s="114"/>
    <row r="542" ht="15.75" customHeight="1" s="114"/>
    <row r="543" ht="15.75" customHeight="1" s="114"/>
    <row r="544" ht="15.75" customHeight="1" s="114"/>
    <row r="545" ht="15.75" customHeight="1" s="114"/>
    <row r="546" ht="15.75" customHeight="1" s="114"/>
    <row r="547" ht="15.75" customHeight="1" s="114"/>
    <row r="548" ht="15.75" customHeight="1" s="114"/>
    <row r="549" ht="15.75" customHeight="1" s="114"/>
    <row r="550" ht="15.75" customHeight="1" s="114"/>
    <row r="551" ht="15.75" customHeight="1" s="114"/>
    <row r="552" ht="15.75" customHeight="1" s="114"/>
    <row r="553" ht="15.75" customHeight="1" s="114"/>
    <row r="554" ht="15.75" customHeight="1" s="114"/>
    <row r="555" ht="15.75" customHeight="1" s="114"/>
    <row r="556" ht="15.75" customHeight="1" s="114"/>
    <row r="557" ht="15.75" customHeight="1" s="114"/>
    <row r="558" ht="15.75" customHeight="1" s="114"/>
    <row r="559" ht="15.75" customHeight="1" s="114"/>
    <row r="560" ht="15.75" customHeight="1" s="114"/>
    <row r="561" ht="15.75" customHeight="1" s="114"/>
    <row r="562" ht="15.75" customHeight="1" s="114"/>
    <row r="563" ht="15.75" customHeight="1" s="114"/>
    <row r="564" ht="15.75" customHeight="1" s="114"/>
    <row r="565" ht="15.75" customHeight="1" s="114"/>
    <row r="566" ht="15.75" customHeight="1" s="114"/>
    <row r="567" ht="15.75" customHeight="1" s="114"/>
    <row r="568" ht="15.75" customHeight="1" s="114"/>
    <row r="569" ht="15.75" customHeight="1" s="114"/>
    <row r="570" ht="15.75" customHeight="1" s="114"/>
    <row r="571" ht="15.75" customHeight="1" s="114"/>
    <row r="572" ht="15.75" customHeight="1" s="114"/>
    <row r="573" ht="15.75" customHeight="1" s="114"/>
    <row r="574" ht="15.75" customHeight="1" s="114"/>
    <row r="575" ht="15.75" customHeight="1" s="114"/>
    <row r="576" ht="15.75" customHeight="1" s="114"/>
    <row r="577" ht="15.75" customHeight="1" s="114"/>
    <row r="578" ht="15.75" customHeight="1" s="114"/>
    <row r="579" ht="15.75" customHeight="1" s="114"/>
    <row r="580" ht="15.75" customHeight="1" s="114"/>
    <row r="581" ht="15.75" customHeight="1" s="114"/>
    <row r="582" ht="15.75" customHeight="1" s="114"/>
    <row r="583" ht="15.75" customHeight="1" s="114"/>
    <row r="584" ht="15.75" customHeight="1" s="114"/>
    <row r="585" ht="15.75" customHeight="1" s="114"/>
    <row r="586" ht="15.75" customHeight="1" s="114"/>
    <row r="587" ht="15.75" customHeight="1" s="114"/>
    <row r="588" ht="15.75" customHeight="1" s="114"/>
    <row r="589" ht="15.75" customHeight="1" s="114"/>
    <row r="590" ht="15.75" customHeight="1" s="114"/>
    <row r="591" ht="15.75" customHeight="1" s="114"/>
    <row r="592" ht="15.75" customHeight="1" s="114"/>
    <row r="593" ht="15.75" customHeight="1" s="114"/>
    <row r="594" ht="15.75" customHeight="1" s="114"/>
    <row r="595" ht="15.75" customHeight="1" s="114"/>
    <row r="596" ht="15.75" customHeight="1" s="114"/>
    <row r="597" ht="15.75" customHeight="1" s="114"/>
    <row r="598" ht="15.75" customHeight="1" s="114"/>
    <row r="599" ht="15.75" customHeight="1" s="114"/>
    <row r="600" ht="15.75" customHeight="1" s="114"/>
    <row r="601" ht="15.75" customHeight="1" s="114"/>
    <row r="602" ht="15.75" customHeight="1" s="114"/>
    <row r="603" ht="15.75" customHeight="1" s="114"/>
    <row r="604" ht="15.75" customHeight="1" s="114"/>
    <row r="605" ht="15.75" customHeight="1" s="114"/>
    <row r="606" ht="15.75" customHeight="1" s="114"/>
    <row r="607" ht="15.75" customHeight="1" s="114"/>
    <row r="608" ht="15.75" customHeight="1" s="114"/>
    <row r="609" ht="15.75" customHeight="1" s="114"/>
    <row r="610" ht="15.75" customHeight="1" s="114"/>
    <row r="611" ht="15.75" customHeight="1" s="114"/>
    <row r="612" ht="15.75" customHeight="1" s="114"/>
    <row r="613" ht="15.75" customHeight="1" s="114"/>
    <row r="614" ht="15.75" customHeight="1" s="114"/>
    <row r="615" ht="15.75" customHeight="1" s="114"/>
    <row r="616" ht="15.75" customHeight="1" s="114"/>
    <row r="617" ht="15.75" customHeight="1" s="114"/>
    <row r="618" ht="15.75" customHeight="1" s="114"/>
    <row r="619" ht="15.75" customHeight="1" s="114"/>
    <row r="620" ht="15.75" customHeight="1" s="114"/>
    <row r="621" ht="15.75" customHeight="1" s="114"/>
    <row r="622" ht="15.75" customHeight="1" s="114"/>
    <row r="623" ht="15.75" customHeight="1" s="114"/>
    <row r="624" ht="15.75" customHeight="1" s="114"/>
    <row r="625" ht="15.75" customHeight="1" s="114"/>
    <row r="626" ht="15.75" customHeight="1" s="114"/>
    <row r="627" ht="15.75" customHeight="1" s="114"/>
    <row r="628" ht="15.75" customHeight="1" s="114"/>
    <row r="629" ht="15.75" customHeight="1" s="114"/>
    <row r="630" ht="15.75" customHeight="1" s="114"/>
    <row r="631" ht="15.75" customHeight="1" s="114"/>
    <row r="632" ht="15.75" customHeight="1" s="114"/>
    <row r="633" ht="15.75" customHeight="1" s="114"/>
    <row r="634" ht="15.75" customHeight="1" s="114"/>
    <row r="635" ht="15.75" customHeight="1" s="114"/>
    <row r="636" ht="15.75" customHeight="1" s="114"/>
    <row r="637" ht="15.75" customHeight="1" s="114"/>
    <row r="638" ht="15.75" customHeight="1" s="114"/>
    <row r="639" ht="15.75" customHeight="1" s="114"/>
    <row r="640" ht="15.75" customHeight="1" s="114"/>
    <row r="641" ht="15.75" customHeight="1" s="114"/>
    <row r="642" ht="15.75" customHeight="1" s="114"/>
    <row r="643" ht="15.75" customHeight="1" s="114"/>
    <row r="644" ht="15.75" customHeight="1" s="114"/>
    <row r="645" ht="15.75" customHeight="1" s="114"/>
    <row r="646" ht="15.75" customHeight="1" s="114"/>
    <row r="647" ht="15.75" customHeight="1" s="114"/>
    <row r="648" ht="15.75" customHeight="1" s="114"/>
    <row r="649" ht="15.75" customHeight="1" s="114"/>
    <row r="650" ht="15.75" customHeight="1" s="114"/>
    <row r="651" ht="15.75" customHeight="1" s="114"/>
    <row r="652" ht="15.75" customHeight="1" s="114"/>
    <row r="653" ht="15.75" customHeight="1" s="114"/>
    <row r="654" ht="15.75" customHeight="1" s="114"/>
    <row r="655" ht="15.75" customHeight="1" s="114"/>
    <row r="656" ht="15.75" customHeight="1" s="114"/>
    <row r="657" ht="15.75" customHeight="1" s="114"/>
    <row r="658" ht="15.75" customHeight="1" s="114"/>
    <row r="659" ht="15.75" customHeight="1" s="114"/>
    <row r="660" ht="15.75" customHeight="1" s="114"/>
    <row r="661" ht="15.75" customHeight="1" s="114"/>
    <row r="662" ht="15.75" customHeight="1" s="114"/>
    <row r="663" ht="15.75" customHeight="1" s="114"/>
    <row r="664" ht="15.75" customHeight="1" s="114"/>
    <row r="665" ht="15.75" customHeight="1" s="114"/>
    <row r="666" ht="15.75" customHeight="1" s="114"/>
    <row r="667" ht="15.75" customHeight="1" s="114"/>
    <row r="668" ht="15.75" customHeight="1" s="114"/>
    <row r="669" ht="15.75" customHeight="1" s="114"/>
    <row r="670" ht="15.75" customHeight="1" s="114"/>
    <row r="671" ht="15.75" customHeight="1" s="114"/>
    <row r="672" ht="15.75" customHeight="1" s="114"/>
    <row r="673" ht="15.75" customHeight="1" s="114"/>
    <row r="674" ht="15.75" customHeight="1" s="114"/>
    <row r="675" ht="15.75" customHeight="1" s="114"/>
    <row r="676" ht="15.75" customHeight="1" s="114"/>
    <row r="677" ht="15.75" customHeight="1" s="114"/>
    <row r="678" ht="15.75" customHeight="1" s="114"/>
    <row r="679" ht="15.75" customHeight="1" s="114"/>
    <row r="680" ht="15.75" customHeight="1" s="114"/>
    <row r="681" ht="15.75" customHeight="1" s="114"/>
    <row r="682" ht="15.75" customHeight="1" s="114"/>
    <row r="683" ht="15.75" customHeight="1" s="114"/>
    <row r="684" ht="15.75" customHeight="1" s="114"/>
    <row r="685" ht="15.75" customHeight="1" s="114"/>
    <row r="686" ht="15.75" customHeight="1" s="114"/>
    <row r="687" ht="15.75" customHeight="1" s="114"/>
    <row r="688" ht="15.75" customHeight="1" s="114"/>
    <row r="689" ht="15.75" customHeight="1" s="114"/>
    <row r="690" ht="15.75" customHeight="1" s="114"/>
    <row r="691" ht="15.75" customHeight="1" s="114"/>
    <row r="692" ht="15.75" customHeight="1" s="114"/>
    <row r="693" ht="15.75" customHeight="1" s="114"/>
    <row r="694" ht="15.75" customHeight="1" s="114"/>
    <row r="695" ht="15.75" customHeight="1" s="114"/>
    <row r="696" ht="15.75" customHeight="1" s="114"/>
    <row r="697" ht="15.75" customHeight="1" s="114"/>
    <row r="698" ht="15.75" customHeight="1" s="114"/>
    <row r="699" ht="15.75" customHeight="1" s="114"/>
    <row r="700" ht="15.75" customHeight="1" s="114"/>
    <row r="701" ht="15.75" customHeight="1" s="114"/>
    <row r="702" ht="15.75" customHeight="1" s="114"/>
    <row r="703" ht="15.75" customHeight="1" s="114"/>
    <row r="704" ht="15.75" customHeight="1" s="114"/>
    <row r="705" ht="15.75" customHeight="1" s="114"/>
    <row r="706" ht="15.75" customHeight="1" s="114"/>
    <row r="707" ht="15.75" customHeight="1" s="114"/>
    <row r="708" ht="15.75" customHeight="1" s="114"/>
    <row r="709" ht="15.75" customHeight="1" s="114"/>
    <row r="710" ht="15.75" customHeight="1" s="114"/>
    <row r="711" ht="15.75" customHeight="1" s="114"/>
    <row r="712" ht="15.75" customHeight="1" s="114"/>
    <row r="713" ht="15.75" customHeight="1" s="114"/>
    <row r="714" ht="15.75" customHeight="1" s="114"/>
    <row r="715" ht="15.75" customHeight="1" s="114"/>
    <row r="716" ht="15.75" customHeight="1" s="114"/>
    <row r="717" ht="15.75" customHeight="1" s="114"/>
    <row r="718" ht="15.75" customHeight="1" s="114"/>
    <row r="719" ht="15.75" customHeight="1" s="114"/>
    <row r="720" ht="15.75" customHeight="1" s="114"/>
    <row r="721" ht="15.75" customHeight="1" s="114"/>
    <row r="722" ht="15.75" customHeight="1" s="114"/>
    <row r="723" ht="15.75" customHeight="1" s="114"/>
    <row r="724" ht="15.75" customHeight="1" s="114"/>
    <row r="725" ht="15.75" customHeight="1" s="114"/>
    <row r="726" ht="15.75" customHeight="1" s="114"/>
    <row r="727" ht="15.75" customHeight="1" s="114"/>
    <row r="728" ht="15.75" customHeight="1" s="114"/>
    <row r="729" ht="15.75" customHeight="1" s="114"/>
    <row r="730" ht="15.75" customHeight="1" s="114"/>
    <row r="731" ht="15.75" customHeight="1" s="114"/>
    <row r="732" ht="15.75" customHeight="1" s="114"/>
    <row r="733" ht="15.75" customHeight="1" s="114"/>
    <row r="734" ht="15.75" customHeight="1" s="114"/>
    <row r="735" ht="15.75" customHeight="1" s="114"/>
    <row r="736" ht="15.75" customHeight="1" s="114"/>
    <row r="737" ht="15.75" customHeight="1" s="114"/>
    <row r="738" ht="15.75" customHeight="1" s="114"/>
    <row r="739" ht="15.75" customHeight="1" s="114"/>
    <row r="740" ht="15.75" customHeight="1" s="114"/>
    <row r="741" ht="15.75" customHeight="1" s="114"/>
    <row r="742" ht="15.75" customHeight="1" s="114"/>
    <row r="743" ht="15.75" customHeight="1" s="114"/>
    <row r="744" ht="15.75" customHeight="1" s="114"/>
    <row r="745" ht="15.75" customHeight="1" s="114"/>
    <row r="746" ht="15.75" customHeight="1" s="114"/>
    <row r="747" ht="15.75" customHeight="1" s="114"/>
    <row r="748" ht="15.75" customHeight="1" s="114"/>
    <row r="749" ht="15.75" customHeight="1" s="114"/>
    <row r="750" ht="15.75" customHeight="1" s="114"/>
    <row r="751" ht="15.75" customHeight="1" s="114"/>
    <row r="752" ht="15.75" customHeight="1" s="114"/>
    <row r="753" ht="15.75" customHeight="1" s="114"/>
    <row r="754" ht="15.75" customHeight="1" s="114"/>
    <row r="755" ht="15.75" customHeight="1" s="114"/>
    <row r="756" ht="15.75" customHeight="1" s="114"/>
    <row r="757" ht="15.75" customHeight="1" s="114"/>
    <row r="758" ht="15.75" customHeight="1" s="114"/>
    <row r="759" ht="15.75" customHeight="1" s="114"/>
    <row r="760" ht="15.75" customHeight="1" s="114"/>
    <row r="761" ht="15.75" customHeight="1" s="114"/>
    <row r="762" ht="15.75" customHeight="1" s="114"/>
    <row r="763" ht="15.75" customHeight="1" s="114"/>
    <row r="764" ht="15.75" customHeight="1" s="114"/>
    <row r="765" ht="15.75" customHeight="1" s="114"/>
    <row r="766" ht="15.75" customHeight="1" s="114"/>
    <row r="767" ht="15.75" customHeight="1" s="114"/>
    <row r="768" ht="15.75" customHeight="1" s="114"/>
    <row r="769" ht="15.75" customHeight="1" s="114"/>
    <row r="770" ht="15.75" customHeight="1" s="114"/>
    <row r="771" ht="15.75" customHeight="1" s="114"/>
    <row r="772" ht="15.75" customHeight="1" s="114"/>
    <row r="773" ht="15.75" customHeight="1" s="114"/>
    <row r="774" ht="15.75" customHeight="1" s="114"/>
    <row r="775" ht="15.75" customHeight="1" s="114"/>
    <row r="776" ht="15.75" customHeight="1" s="114"/>
    <row r="777" ht="15.75" customHeight="1" s="114"/>
    <row r="778" ht="15.75" customHeight="1" s="114"/>
    <row r="779" ht="15.75" customHeight="1" s="114"/>
    <row r="780" ht="15.75" customHeight="1" s="114"/>
    <row r="781" ht="15.75" customHeight="1" s="114"/>
    <row r="782" ht="15.75" customHeight="1" s="114"/>
    <row r="783" ht="15.75" customHeight="1" s="114"/>
    <row r="784" ht="15.75" customHeight="1" s="114"/>
    <row r="785" ht="15.75" customHeight="1" s="114"/>
    <row r="786" ht="15.75" customHeight="1" s="114"/>
    <row r="787" ht="15.75" customHeight="1" s="114"/>
    <row r="788" ht="15.75" customHeight="1" s="114"/>
    <row r="789" ht="15.75" customHeight="1" s="114"/>
    <row r="790" ht="15.75" customHeight="1" s="114"/>
    <row r="791" ht="15.75" customHeight="1" s="114"/>
    <row r="792" ht="15.75" customHeight="1" s="114"/>
    <row r="793" ht="15.75" customHeight="1" s="114"/>
    <row r="794" ht="15.75" customHeight="1" s="114"/>
    <row r="795" ht="15.75" customHeight="1" s="114"/>
    <row r="796" ht="15.75" customHeight="1" s="114"/>
    <row r="797" ht="15.75" customHeight="1" s="114"/>
    <row r="798" ht="15.75" customHeight="1" s="114"/>
    <row r="799" ht="15.75" customHeight="1" s="114"/>
    <row r="800" ht="15.75" customHeight="1" s="114"/>
    <row r="801" ht="15.75" customHeight="1" s="114"/>
    <row r="802" ht="15.75" customHeight="1" s="114"/>
    <row r="803" ht="15.75" customHeight="1" s="114"/>
    <row r="804" ht="15.75" customHeight="1" s="114"/>
    <row r="805" ht="15.75" customHeight="1" s="114"/>
    <row r="806" ht="15.75" customHeight="1" s="114"/>
    <row r="807" ht="15.75" customHeight="1" s="114"/>
    <row r="808" ht="15.75" customHeight="1" s="114"/>
    <row r="809" ht="15.75" customHeight="1" s="114"/>
    <row r="810" ht="15.75" customHeight="1" s="114"/>
    <row r="811" ht="15.75" customHeight="1" s="114"/>
    <row r="812" ht="15.75" customHeight="1" s="114"/>
    <row r="813" ht="15.75" customHeight="1" s="114"/>
    <row r="814" ht="15.75" customHeight="1" s="114"/>
    <row r="815" ht="15.75" customHeight="1" s="114"/>
    <row r="816" ht="15.75" customHeight="1" s="114"/>
    <row r="817" ht="15.75" customHeight="1" s="114"/>
    <row r="818" ht="15.75" customHeight="1" s="114"/>
    <row r="819" ht="15.75" customHeight="1" s="114"/>
    <row r="820" ht="15.75" customHeight="1" s="114"/>
    <row r="821" ht="15.75" customHeight="1" s="114"/>
    <row r="822" ht="15.75" customHeight="1" s="114"/>
    <row r="823" ht="15.75" customHeight="1" s="114"/>
    <row r="824" ht="15.75" customHeight="1" s="114"/>
    <row r="825" ht="15.75" customHeight="1" s="114"/>
    <row r="826" ht="15.75" customHeight="1" s="114"/>
    <row r="827" ht="15.75" customHeight="1" s="114"/>
    <row r="828" ht="15.75" customHeight="1" s="114"/>
    <row r="829" ht="15.75" customHeight="1" s="114"/>
    <row r="830" ht="15.75" customHeight="1" s="114"/>
    <row r="831" ht="15.75" customHeight="1" s="114"/>
    <row r="832" ht="15.75" customHeight="1" s="114"/>
    <row r="833" ht="15.75" customHeight="1" s="114"/>
    <row r="834" ht="15.75" customHeight="1" s="114"/>
    <row r="835" ht="15.75" customHeight="1" s="114"/>
    <row r="836" ht="15.75" customHeight="1" s="114"/>
    <row r="837" ht="15.75" customHeight="1" s="114"/>
    <row r="838" ht="15.75" customHeight="1" s="114"/>
    <row r="839" ht="15.75" customHeight="1" s="114"/>
    <row r="840" ht="15.75" customHeight="1" s="114"/>
    <row r="841" ht="15.75" customHeight="1" s="114"/>
    <row r="842" ht="15.75" customHeight="1" s="114"/>
    <row r="843" ht="15.75" customHeight="1" s="114"/>
    <row r="844" ht="15.75" customHeight="1" s="114"/>
    <row r="845" ht="15.75" customHeight="1" s="114"/>
    <row r="846" ht="15.75" customHeight="1" s="114"/>
    <row r="847" ht="15.75" customHeight="1" s="114"/>
    <row r="848" ht="15.75" customHeight="1" s="114"/>
    <row r="849" ht="15.75" customHeight="1" s="114"/>
    <row r="850" ht="15.75" customHeight="1" s="114"/>
    <row r="851" ht="15.75" customHeight="1" s="114"/>
    <row r="852" ht="15.75" customHeight="1" s="114"/>
    <row r="853" ht="15.75" customHeight="1" s="114"/>
    <row r="854" ht="15.75" customHeight="1" s="114"/>
    <row r="855" ht="15.75" customHeight="1" s="114"/>
    <row r="856" ht="15.75" customHeight="1" s="114"/>
    <row r="857" ht="15.75" customHeight="1" s="114"/>
    <row r="858" ht="15.75" customHeight="1" s="114"/>
    <row r="859" ht="15.75" customHeight="1" s="114"/>
    <row r="860" ht="15.75" customHeight="1" s="114"/>
    <row r="861" ht="15.75" customHeight="1" s="114"/>
    <row r="862" ht="15.75" customHeight="1" s="114"/>
    <row r="863" ht="15.75" customHeight="1" s="114"/>
    <row r="864" ht="15.75" customHeight="1" s="114"/>
    <row r="865" ht="15.75" customHeight="1" s="114"/>
    <row r="866" ht="15.75" customHeight="1" s="114"/>
    <row r="867" ht="15.75" customHeight="1" s="114"/>
    <row r="868" ht="15.75" customHeight="1" s="114"/>
    <row r="869" ht="15.75" customHeight="1" s="114"/>
    <row r="870" ht="15.75" customHeight="1" s="114"/>
    <row r="871" ht="15.75" customHeight="1" s="114"/>
    <row r="872" ht="15.75" customHeight="1" s="114"/>
    <row r="873" ht="15.75" customHeight="1" s="114"/>
    <row r="874" ht="15.75" customHeight="1" s="114"/>
    <row r="875" ht="15.75" customHeight="1" s="114"/>
    <row r="876" ht="15.75" customHeight="1" s="114"/>
    <row r="877" ht="15.75" customHeight="1" s="114"/>
    <row r="878" ht="15.75" customHeight="1" s="114"/>
    <row r="879" ht="15.75" customHeight="1" s="114"/>
    <row r="880" ht="15.75" customHeight="1" s="114"/>
    <row r="881" ht="15.75" customHeight="1" s="114"/>
    <row r="882" ht="15.75" customHeight="1" s="114"/>
    <row r="883" ht="15.75" customHeight="1" s="114"/>
    <row r="884" ht="15.75" customHeight="1" s="114"/>
    <row r="885" ht="15.75" customHeight="1" s="114"/>
    <row r="886" ht="15.75" customHeight="1" s="114"/>
    <row r="887" ht="15.75" customHeight="1" s="114"/>
    <row r="888" ht="15.75" customHeight="1" s="114"/>
    <row r="889" ht="15.75" customHeight="1" s="114"/>
    <row r="890" ht="15.75" customHeight="1" s="114"/>
    <row r="891" ht="15.75" customHeight="1" s="114"/>
    <row r="892" ht="15.75" customHeight="1" s="114"/>
    <row r="893" ht="15.75" customHeight="1" s="114"/>
    <row r="894" ht="15.75" customHeight="1" s="114"/>
    <row r="895" ht="15.75" customHeight="1" s="114"/>
    <row r="896" ht="15.75" customHeight="1" s="114"/>
    <row r="897" ht="15.75" customHeight="1" s="114"/>
    <row r="898" ht="15.75" customHeight="1" s="114"/>
    <row r="899" ht="15.75" customHeight="1" s="114"/>
    <row r="900" ht="15.75" customHeight="1" s="114"/>
    <row r="901" ht="15.75" customHeight="1" s="114"/>
    <row r="902" ht="15.75" customHeight="1" s="114"/>
    <row r="903" ht="15.75" customHeight="1" s="114"/>
    <row r="904" ht="15.75" customHeight="1" s="114"/>
    <row r="905" ht="15.75" customHeight="1" s="114"/>
    <row r="906" ht="15.75" customHeight="1" s="114"/>
    <row r="907" ht="15.75" customHeight="1" s="114"/>
    <row r="908" ht="15.75" customHeight="1" s="114"/>
    <row r="909" ht="15.75" customHeight="1" s="114"/>
    <row r="910" ht="15.75" customHeight="1" s="114"/>
    <row r="911" ht="15.75" customHeight="1" s="114"/>
    <row r="912" ht="15.75" customHeight="1" s="114"/>
    <row r="913" ht="15.75" customHeight="1" s="114"/>
    <row r="914" ht="15.75" customHeight="1" s="114"/>
    <row r="915" ht="15.75" customHeight="1" s="114"/>
    <row r="916" ht="15.75" customHeight="1" s="114"/>
    <row r="917" ht="15.75" customHeight="1" s="114"/>
    <row r="918" ht="15.75" customHeight="1" s="114"/>
    <row r="919" ht="15.75" customHeight="1" s="114"/>
    <row r="920" ht="15.75" customHeight="1" s="114"/>
    <row r="921" ht="15.75" customHeight="1" s="114"/>
    <row r="922" ht="15.75" customHeight="1" s="114"/>
    <row r="923" ht="15.75" customHeight="1" s="114"/>
    <row r="924" ht="15.75" customHeight="1" s="114"/>
    <row r="925" ht="15.75" customHeight="1" s="114"/>
    <row r="926" ht="15.75" customHeight="1" s="114"/>
    <row r="927" ht="15.75" customHeight="1" s="114"/>
    <row r="928" ht="15.75" customHeight="1" s="114"/>
    <row r="929" ht="15.75" customHeight="1" s="114"/>
    <row r="930" ht="15.75" customHeight="1" s="114"/>
    <row r="931" ht="15.75" customHeight="1" s="114"/>
    <row r="932" ht="15.75" customHeight="1" s="114"/>
    <row r="933" ht="15.75" customHeight="1" s="114"/>
    <row r="934" ht="15.75" customHeight="1" s="114"/>
    <row r="935" ht="15.75" customHeight="1" s="114"/>
    <row r="936" ht="15.75" customHeight="1" s="114"/>
    <row r="937" ht="15.75" customHeight="1" s="114"/>
    <row r="938" ht="15.75" customHeight="1" s="114"/>
    <row r="939" ht="15.75" customHeight="1" s="114"/>
    <row r="940" ht="15.75" customHeight="1" s="114"/>
    <row r="941" ht="15.75" customHeight="1" s="114"/>
    <row r="942" ht="15.75" customHeight="1" s="114"/>
    <row r="943" ht="15.75" customHeight="1" s="114"/>
    <row r="944" ht="15.75" customHeight="1" s="114"/>
    <row r="945" ht="15.75" customHeight="1" s="114"/>
    <row r="946" ht="15.75" customHeight="1" s="114"/>
    <row r="947" ht="15.75" customHeight="1" s="114"/>
    <row r="948" ht="15.75" customHeight="1" s="114"/>
    <row r="949" ht="15.75" customHeight="1" s="114"/>
    <row r="950" ht="15.75" customHeight="1" s="114"/>
    <row r="951" ht="15.75" customHeight="1" s="114"/>
    <row r="952" ht="15.75" customHeight="1" s="114"/>
    <row r="953" ht="15.75" customHeight="1" s="114"/>
    <row r="954" ht="15.75" customHeight="1" s="114"/>
    <row r="955" ht="15.75" customHeight="1" s="114"/>
    <row r="956" ht="15.75" customHeight="1" s="114"/>
    <row r="957" ht="15.75" customHeight="1" s="114"/>
    <row r="958" ht="15.75" customHeight="1" s="114"/>
    <row r="959" ht="15.75" customHeight="1" s="114"/>
    <row r="960" ht="15.75" customHeight="1" s="114"/>
    <row r="961" ht="15.75" customHeight="1" s="114"/>
    <row r="962" ht="15.75" customHeight="1" s="114"/>
    <row r="963" ht="15.75" customHeight="1" s="114"/>
    <row r="964" ht="15.75" customHeight="1" s="114"/>
    <row r="965" ht="15.75" customHeight="1" s="114"/>
    <row r="966" ht="15.75" customHeight="1" s="114"/>
    <row r="967" ht="15.75" customHeight="1" s="114"/>
    <row r="968" ht="15.75" customHeight="1" s="114"/>
    <row r="969" ht="15.75" customHeight="1" s="114"/>
    <row r="970" ht="15.75" customHeight="1" s="114"/>
    <row r="971" ht="15.75" customHeight="1" s="114"/>
    <row r="972" ht="15.75" customHeight="1" s="114"/>
    <row r="973" ht="15.75" customHeight="1" s="114"/>
    <row r="974" ht="15.75" customHeight="1" s="114"/>
    <row r="975" ht="15.75" customHeight="1" s="114"/>
    <row r="976" ht="15.75" customHeight="1" s="114"/>
    <row r="977" ht="15.75" customHeight="1" s="114"/>
    <row r="978" ht="15.75" customHeight="1" s="114"/>
    <row r="979" ht="15.75" customHeight="1" s="114"/>
    <row r="980" ht="15.75" customHeight="1" s="114"/>
    <row r="981" ht="15.75" customHeight="1" s="114"/>
    <row r="982" ht="15.75" customHeight="1" s="114"/>
    <row r="983" ht="15.75" customHeight="1" s="114"/>
    <row r="984" ht="15.75" customHeight="1" s="114"/>
    <row r="985" ht="15.75" customHeight="1" s="114"/>
    <row r="986" ht="15.75" customHeight="1" s="114"/>
    <row r="987" ht="15.75" customHeight="1" s="114"/>
    <row r="988" ht="15.75" customHeight="1" s="114"/>
    <row r="989" ht="15.75" customHeight="1" s="114"/>
    <row r="990" ht="15.75" customHeight="1" s="114"/>
    <row r="991" ht="15.75" customHeight="1" s="114"/>
    <row r="992" ht="15.75" customHeight="1" s="114"/>
    <row r="993" ht="15.75" customHeight="1" s="114"/>
    <row r="994" ht="15.75" customHeight="1" s="114"/>
    <row r="995" ht="15.75" customHeight="1" s="114"/>
    <row r="996" ht="15.75" customHeight="1" s="114"/>
    <row r="997" ht="15.75" customHeight="1" s="114"/>
    <row r="998" ht="15.75" customHeight="1" s="114"/>
    <row r="999" ht="15.75" customHeight="1" s="114"/>
    <row r="1000" ht="15.75" customHeight="1" s="114"/>
  </sheetData>
  <mergeCells count="3">
    <mergeCell ref="A1:J1"/>
    <mergeCell ref="B13:J13"/>
    <mergeCell ref="A2:J2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2026-04-27T19:19:36Z</dcterms:created>
  <dcterms:modified xsi:type="dcterms:W3CDTF">2026-04-27T19:19:36Z</dcterms:modified>
</cp:coreProperties>
</file>